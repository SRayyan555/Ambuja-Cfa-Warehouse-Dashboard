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080" yWindow="1875" windowWidth="14355" windowHeight="4440" tabRatio="589" activeTab="2"/>
  </bookViews>
  <sheets>
    <sheet name="STOCK" sheetId="2" r:id="rId1"/>
    <sheet name="SALE" sheetId="3" r:id="rId2"/>
    <sheet name="SAP" sheetId="6" r:id="rId3"/>
    <sheet name="JNP G EXP" sheetId="13" r:id="rId4"/>
  </sheets>
  <definedNames>
    <definedName name="_xlnm._FilterDatabase" localSheetId="1" hidden="1">SALE!$A$1:$O$345</definedName>
    <definedName name="_xlnm._FilterDatabase" localSheetId="2" hidden="1">SAP!$A$14:$N$21</definedName>
    <definedName name="_xlnm._FilterDatabase" localSheetId="0" hidden="1">STOCK!$A$1:$AP$36</definedName>
  </definedNames>
  <calcPr calcId="144525"/>
</workbook>
</file>

<file path=xl/calcChain.xml><?xml version="1.0" encoding="utf-8"?>
<calcChain xmlns="http://schemas.openxmlformats.org/spreadsheetml/2006/main">
  <c r="G17" i="6" l="1"/>
  <c r="C17" i="6" l="1"/>
  <c r="Q7" i="6" l="1"/>
  <c r="Q3" i="6"/>
  <c r="I18" i="6"/>
  <c r="E18" i="6"/>
  <c r="N4" i="2" l="1"/>
  <c r="C748" i="13"/>
  <c r="O7" i="6"/>
  <c r="O3" i="6"/>
  <c r="G3" i="6" l="1"/>
  <c r="G4" i="6"/>
  <c r="C747" i="13" l="1"/>
  <c r="C746" i="13" l="1"/>
  <c r="P7" i="6" l="1"/>
  <c r="P3" i="6"/>
  <c r="M18" i="6"/>
  <c r="M17" i="6"/>
  <c r="L17" i="6"/>
  <c r="K17" i="6"/>
  <c r="K4" i="6"/>
  <c r="K3" i="6"/>
  <c r="G16" i="6"/>
  <c r="H16" i="6"/>
  <c r="I16" i="6"/>
  <c r="H17" i="6"/>
  <c r="I17" i="6"/>
  <c r="G18" i="6"/>
  <c r="H18" i="6"/>
  <c r="G19" i="6"/>
  <c r="H19" i="6"/>
  <c r="I19" i="6"/>
  <c r="G20" i="6"/>
  <c r="H20" i="6"/>
  <c r="I20" i="6"/>
  <c r="G15" i="6"/>
  <c r="H15" i="6"/>
  <c r="I15" i="6"/>
  <c r="H14" i="6"/>
  <c r="G1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H4" i="6"/>
  <c r="I4" i="6"/>
  <c r="C16" i="6"/>
  <c r="D16" i="6"/>
  <c r="E16" i="6"/>
  <c r="D17" i="6"/>
  <c r="E17" i="6"/>
  <c r="C18" i="6"/>
  <c r="D18" i="6"/>
  <c r="C19" i="6"/>
  <c r="D19" i="6"/>
  <c r="E19" i="6"/>
  <c r="C20" i="6"/>
  <c r="D20" i="6"/>
  <c r="E20" i="6"/>
  <c r="C15" i="6"/>
  <c r="D15" i="6"/>
  <c r="E15" i="6"/>
  <c r="D14" i="6"/>
  <c r="C14" i="6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4" i="6"/>
  <c r="D4" i="6"/>
  <c r="E4" i="6"/>
  <c r="C3" i="6"/>
  <c r="P4" i="2"/>
  <c r="O4" i="2"/>
  <c r="C743" i="13" l="1"/>
  <c r="C742" i="13" l="1"/>
  <c r="C741" i="13" l="1"/>
  <c r="C740" i="13" l="1"/>
  <c r="C739" i="13" l="1"/>
  <c r="C738" i="13" l="1"/>
  <c r="C737" i="13" l="1"/>
  <c r="C736" i="13" l="1"/>
  <c r="C735" i="13" l="1"/>
  <c r="C734" i="13" l="1"/>
  <c r="D733" i="13" l="1"/>
  <c r="C732" i="13"/>
  <c r="C731" i="13" l="1"/>
  <c r="C730" i="13" l="1"/>
  <c r="C729" i="13" l="1"/>
  <c r="C728" i="13"/>
  <c r="C727" i="13" l="1"/>
  <c r="C726" i="13" l="1"/>
  <c r="C725" i="13" l="1"/>
  <c r="C724" i="13" l="1"/>
  <c r="C723" i="13" l="1"/>
  <c r="C722" i="13"/>
  <c r="L18" i="6"/>
  <c r="M3" i="6"/>
  <c r="I14" i="6"/>
  <c r="E14" i="6"/>
  <c r="E3" i="6"/>
  <c r="M5" i="3"/>
  <c r="M7" i="3" l="1"/>
  <c r="C720" i="13" l="1"/>
  <c r="C719" i="13" l="1"/>
  <c r="D718" i="13" l="1"/>
  <c r="C717" i="13" l="1"/>
  <c r="C714" i="13" l="1"/>
  <c r="C716" i="13" l="1"/>
  <c r="C715" i="13" l="1"/>
  <c r="C713" i="13" l="1"/>
  <c r="C712" i="13"/>
  <c r="C711" i="13" l="1"/>
  <c r="C710" i="13" l="1"/>
  <c r="C709" i="13" l="1"/>
  <c r="C708" i="13" l="1"/>
  <c r="C707" i="13" l="1"/>
  <c r="C706" i="13" l="1"/>
  <c r="C704" i="13"/>
  <c r="M14" i="6" l="1"/>
  <c r="L3" i="6"/>
  <c r="I3" i="6"/>
  <c r="H3" i="6"/>
  <c r="D3" i="6"/>
  <c r="C703" i="13" l="1"/>
  <c r="C702" i="13" l="1"/>
  <c r="M19" i="6" l="1"/>
  <c r="L19" i="6"/>
  <c r="J19" i="6"/>
  <c r="K19" i="6"/>
  <c r="F19" i="6"/>
  <c r="N19" i="6" l="1"/>
  <c r="C701" i="13"/>
  <c r="D700" i="13" l="1"/>
  <c r="C699" i="13" l="1"/>
  <c r="C698" i="13" l="1"/>
  <c r="C697" i="13" l="1"/>
  <c r="C696" i="13"/>
  <c r="C695" i="13" l="1"/>
  <c r="C694" i="13" l="1"/>
  <c r="C693" i="13" l="1"/>
  <c r="C692" i="13" l="1"/>
  <c r="C691" i="13" l="1"/>
  <c r="C690" i="13" l="1"/>
  <c r="C689" i="13" l="1"/>
  <c r="C688" i="13" l="1"/>
  <c r="C687" i="13" l="1"/>
  <c r="C686" i="13" l="1"/>
  <c r="C685" i="13" l="1"/>
  <c r="C683" i="13" l="1"/>
  <c r="D682" i="13" l="1"/>
  <c r="C681" i="13"/>
  <c r="C680" i="13" l="1"/>
  <c r="C679" i="13"/>
  <c r="C678" i="13" l="1"/>
  <c r="C677" i="13" l="1"/>
  <c r="C676" i="13" l="1"/>
  <c r="C675" i="13" l="1"/>
  <c r="C674" i="13" l="1"/>
  <c r="C673" i="13" l="1"/>
  <c r="C672" i="13" l="1"/>
  <c r="K18" i="6" l="1"/>
  <c r="K10" i="6"/>
  <c r="C671" i="13" l="1"/>
  <c r="C670" i="13" l="1"/>
  <c r="C668" i="13" l="1"/>
  <c r="C667" i="13" l="1"/>
  <c r="C666" i="13" l="1"/>
  <c r="C665" i="13"/>
  <c r="C664" i="13" l="1"/>
  <c r="C663" i="13" l="1"/>
  <c r="C662" i="13" l="1"/>
  <c r="C661" i="13" l="1"/>
  <c r="C660" i="13" l="1"/>
  <c r="C659" i="13" l="1"/>
  <c r="C658" i="13" l="1"/>
  <c r="C656" i="13" l="1"/>
  <c r="C655" i="13" l="1"/>
  <c r="D654" i="13"/>
  <c r="C653" i="13" l="1"/>
  <c r="C651" i="13" l="1"/>
  <c r="C650" i="13"/>
  <c r="C649" i="13" l="1"/>
  <c r="C648" i="13" l="1"/>
  <c r="C647" i="13" l="1"/>
  <c r="C646" i="13"/>
  <c r="C643" i="13" l="1"/>
  <c r="C642" i="13" l="1"/>
  <c r="C641" i="13" l="1"/>
  <c r="C640" i="13" l="1"/>
  <c r="C639" i="13" l="1"/>
  <c r="D638" i="13" l="1"/>
  <c r="C637" i="13"/>
  <c r="C636" i="13"/>
  <c r="C635" i="13" l="1"/>
  <c r="C634" i="13" l="1"/>
  <c r="C633" i="13" l="1"/>
  <c r="C632" i="13" l="1"/>
  <c r="C631" i="13" l="1"/>
  <c r="C630" i="13" l="1"/>
  <c r="C629" i="13" l="1"/>
  <c r="C628" i="13" l="1"/>
  <c r="C627" i="13" l="1"/>
  <c r="C626" i="13"/>
  <c r="C625" i="13" l="1"/>
  <c r="D624" i="13" l="1"/>
  <c r="C623" i="13" l="1"/>
  <c r="C621" i="13"/>
  <c r="C620" i="13" l="1"/>
  <c r="C619" i="13" l="1"/>
  <c r="C618" i="13" l="1"/>
  <c r="C617" i="13" l="1"/>
  <c r="C616" i="13" l="1"/>
  <c r="C615" i="13" l="1"/>
  <c r="C614" i="13"/>
  <c r="M25" i="3"/>
  <c r="C613" i="13" l="1"/>
  <c r="C612" i="13" l="1"/>
  <c r="C611" i="13" l="1"/>
  <c r="C610" i="13" l="1"/>
  <c r="C609" i="13" l="1"/>
  <c r="C608" i="13" l="1"/>
  <c r="D607" i="13" l="1"/>
  <c r="C606" i="13"/>
  <c r="C605" i="13" l="1"/>
  <c r="C604" i="13" l="1"/>
  <c r="C603" i="13"/>
  <c r="C602" i="13" l="1"/>
  <c r="C601" i="13" l="1"/>
  <c r="C600" i="13" l="1"/>
  <c r="L6" i="6" l="1"/>
  <c r="C599" i="13" l="1"/>
  <c r="M6" i="6"/>
  <c r="C597" i="13" l="1"/>
  <c r="C596" i="13" l="1"/>
  <c r="C595" i="13" l="1"/>
  <c r="C594" i="13" l="1"/>
  <c r="C593" i="13" l="1"/>
  <c r="C592" i="13" l="1"/>
  <c r="C591" i="13" l="1"/>
  <c r="D590" i="13" l="1"/>
  <c r="C589" i="13" l="1"/>
  <c r="C588" i="13" l="1"/>
  <c r="C587" i="13" l="1"/>
  <c r="C586" i="13" l="1"/>
  <c r="C585" i="13" l="1"/>
  <c r="C584" i="13" l="1"/>
  <c r="C583" i="13" l="1"/>
  <c r="C582" i="13"/>
  <c r="C581" i="13" l="1"/>
  <c r="C580" i="13" l="1"/>
  <c r="C579" i="13" l="1"/>
  <c r="C577" i="13" l="1"/>
  <c r="C576" i="13" l="1"/>
  <c r="D575" i="13" l="1"/>
  <c r="C574" i="13"/>
  <c r="C573" i="13" l="1"/>
  <c r="C572" i="13" l="1"/>
  <c r="C571" i="13" l="1"/>
  <c r="C570" i="13" l="1"/>
  <c r="C569" i="13" l="1"/>
  <c r="C568" i="13" l="1"/>
  <c r="C567" i="13" l="1"/>
  <c r="C566" i="13" l="1"/>
  <c r="C565" i="13" l="1"/>
  <c r="C564" i="13" l="1"/>
  <c r="C563" i="13" l="1"/>
  <c r="C562" i="13"/>
  <c r="C561" i="13" l="1"/>
  <c r="C560" i="13" l="1"/>
  <c r="C558" i="13" l="1"/>
  <c r="C557" i="13" l="1"/>
  <c r="C556" i="13" l="1"/>
  <c r="C555" i="13" l="1"/>
  <c r="D554" i="13" l="1"/>
  <c r="C553" i="13"/>
  <c r="C552" i="13"/>
  <c r="M15" i="6"/>
  <c r="C550" i="13" l="1"/>
  <c r="C549" i="13" l="1"/>
  <c r="C548" i="13" l="1"/>
  <c r="C547" i="13" l="1"/>
  <c r="C546" i="13" l="1"/>
  <c r="C545" i="13" l="1"/>
  <c r="C544" i="13"/>
  <c r="C543" i="13" l="1"/>
  <c r="C540" i="13" l="1"/>
  <c r="C539" i="13" l="1"/>
  <c r="C538" i="13" l="1"/>
  <c r="C537" i="13" l="1"/>
  <c r="C536" i="13" l="1"/>
  <c r="C535" i="13" l="1"/>
  <c r="C534" i="13" l="1"/>
  <c r="C533" i="13"/>
  <c r="C530" i="13" l="1"/>
  <c r="D529" i="13" l="1"/>
  <c r="C528" i="13"/>
  <c r="M14" i="3"/>
  <c r="C527" i="13" l="1"/>
  <c r="C526" i="13" l="1"/>
  <c r="C525" i="13" l="1"/>
  <c r="C524" i="13" l="1"/>
  <c r="C523" i="13" l="1"/>
  <c r="C520" i="13" l="1"/>
  <c r="M4" i="3"/>
  <c r="L14" i="6" l="1"/>
  <c r="C515" i="13" l="1"/>
  <c r="C514" i="13" l="1"/>
  <c r="C513" i="13" l="1"/>
  <c r="C512" i="13" l="1"/>
  <c r="C511" i="13" l="1"/>
  <c r="C510" i="13" l="1"/>
  <c r="C508" i="13" l="1"/>
  <c r="C507" i="13" l="1"/>
  <c r="C506" i="13" l="1"/>
  <c r="C505" i="13" l="1"/>
  <c r="C504" i="13" l="1"/>
  <c r="C503" i="13"/>
  <c r="D502" i="13" l="1"/>
  <c r="C501" i="13"/>
  <c r="C500" i="13" l="1"/>
  <c r="C499" i="13" l="1"/>
  <c r="D498" i="13" l="1"/>
  <c r="C497" i="13"/>
  <c r="C496" i="13" l="1"/>
  <c r="C495" i="13" l="1"/>
  <c r="C489" i="13" l="1"/>
  <c r="C493" i="13"/>
  <c r="C492" i="13" l="1"/>
  <c r="C491" i="13" l="1"/>
  <c r="C490" i="13" l="1"/>
  <c r="C488" i="13" l="1"/>
  <c r="C487" i="13" l="1"/>
  <c r="C486" i="13" l="1"/>
  <c r="C485" i="13" l="1"/>
  <c r="C484" i="13" l="1"/>
  <c r="C483" i="13"/>
  <c r="C482" i="13" l="1"/>
  <c r="C481" i="13" l="1"/>
  <c r="C480" i="13"/>
  <c r="C479" i="13" l="1"/>
  <c r="D478" i="13" l="1"/>
  <c r="M10" i="3" l="1"/>
  <c r="M11" i="3"/>
  <c r="M12" i="3"/>
  <c r="M13" i="3"/>
  <c r="M15" i="3"/>
  <c r="M16" i="3"/>
  <c r="M17" i="3"/>
  <c r="M18" i="3"/>
  <c r="M19" i="3"/>
  <c r="M20" i="3"/>
  <c r="M21" i="3"/>
  <c r="C477" i="13" l="1"/>
  <c r="C476" i="13"/>
  <c r="F10" i="6" l="1"/>
  <c r="M10" i="6"/>
  <c r="L10" i="6" l="1"/>
  <c r="N10" i="6" s="1"/>
  <c r="J10" i="6"/>
  <c r="C475" i="13" l="1"/>
  <c r="C474" i="13" l="1"/>
  <c r="C473" i="13" l="1"/>
  <c r="C472" i="13" l="1"/>
  <c r="C471" i="13" l="1"/>
  <c r="C469" i="13" l="1"/>
  <c r="C468" i="13" l="1"/>
  <c r="C467" i="13" l="1"/>
  <c r="C466" i="13"/>
  <c r="D465" i="13" l="1"/>
  <c r="C464" i="13"/>
  <c r="C463" i="13" l="1"/>
  <c r="C462" i="13" l="1"/>
  <c r="C461" i="13" l="1"/>
  <c r="C460" i="13" l="1"/>
  <c r="C459" i="13" l="1"/>
  <c r="C458" i="13" l="1"/>
  <c r="C457" i="13"/>
  <c r="C456" i="13" l="1"/>
  <c r="C455" i="13" l="1"/>
  <c r="C454" i="13" l="1"/>
  <c r="C453" i="13" l="1"/>
  <c r="C452" i="13" l="1"/>
  <c r="C451" i="13"/>
  <c r="C450" i="13" l="1"/>
  <c r="C449" i="13" l="1"/>
  <c r="C448" i="13" l="1"/>
  <c r="C447" i="13" l="1"/>
  <c r="C446" i="13" l="1"/>
  <c r="C445" i="13" l="1"/>
  <c r="D443" i="13" l="1"/>
  <c r="C442" i="13" l="1"/>
  <c r="C441" i="13" l="1"/>
  <c r="C440" i="13"/>
  <c r="C439" i="13" l="1"/>
  <c r="C437" i="13" l="1"/>
  <c r="C438" i="13"/>
  <c r="C436" i="13" l="1"/>
  <c r="C435" i="13" l="1"/>
  <c r="C434" i="13" l="1"/>
  <c r="D433" i="13" l="1"/>
  <c r="C432" i="13" l="1"/>
  <c r="C431" i="13" l="1"/>
  <c r="C430" i="13" l="1"/>
  <c r="C429" i="13" l="1"/>
  <c r="C428" i="13" l="1"/>
  <c r="C427" i="13" l="1"/>
  <c r="C425" i="13" l="1"/>
  <c r="D424" i="13" l="1"/>
  <c r="C423" i="13"/>
  <c r="C422" i="13" l="1"/>
  <c r="C421" i="13" l="1"/>
  <c r="C420" i="13" l="1"/>
  <c r="C419" i="13" l="1"/>
  <c r="C418" i="13"/>
  <c r="C417" i="13" l="1"/>
  <c r="C416" i="13" l="1"/>
  <c r="C415" i="13" l="1"/>
  <c r="C414" i="13" l="1"/>
  <c r="C413" i="13"/>
  <c r="C412" i="13" l="1"/>
  <c r="C411" i="13" l="1"/>
  <c r="C410" i="13"/>
  <c r="C409" i="13" l="1"/>
  <c r="C408" i="13"/>
  <c r="D407" i="13" l="1"/>
  <c r="C406" i="13"/>
  <c r="C405" i="13" l="1"/>
  <c r="M31" i="3"/>
  <c r="C404" i="13" l="1"/>
  <c r="C403" i="13" l="1"/>
  <c r="C402" i="13" l="1"/>
  <c r="C401" i="13" l="1"/>
  <c r="C400" i="13" l="1"/>
  <c r="C399" i="13" l="1"/>
  <c r="C398" i="13" l="1"/>
  <c r="D397" i="13" l="1"/>
  <c r="C396" i="13" l="1"/>
  <c r="C395" i="13"/>
  <c r="C393" i="13" l="1"/>
  <c r="C392" i="13" l="1"/>
  <c r="L7" i="6"/>
  <c r="M7" i="6"/>
  <c r="C390" i="13" l="1"/>
  <c r="D389" i="13"/>
  <c r="C387" i="13" l="1"/>
  <c r="C386" i="13" l="1"/>
  <c r="C385" i="13" l="1"/>
  <c r="C384" i="13"/>
  <c r="C383" i="13" l="1"/>
  <c r="C382" i="13" l="1"/>
  <c r="C381" i="13" l="1"/>
  <c r="C380" i="13" l="1"/>
  <c r="C379" i="13"/>
  <c r="C378" i="13" l="1"/>
  <c r="C377" i="13" l="1"/>
  <c r="C376" i="13" l="1"/>
  <c r="C375" i="13" l="1"/>
  <c r="C373" i="13" l="1"/>
  <c r="M26" i="3"/>
  <c r="C372" i="13" l="1"/>
  <c r="C371" i="13"/>
  <c r="D370" i="13" l="1"/>
  <c r="C369" i="13" l="1"/>
  <c r="C368" i="13" l="1"/>
  <c r="C367" i="13" l="1"/>
  <c r="C366" i="13" l="1"/>
  <c r="C365" i="13"/>
  <c r="C364" i="13" l="1"/>
  <c r="C363" i="13"/>
  <c r="C362" i="13" l="1"/>
  <c r="C361" i="13" l="1"/>
  <c r="C360" i="13"/>
  <c r="C359" i="13" l="1"/>
  <c r="D357" i="13" l="1"/>
  <c r="C356" i="13"/>
  <c r="C355" i="13"/>
  <c r="C354" i="13" l="1"/>
  <c r="C353" i="13" l="1"/>
  <c r="C352" i="13" l="1"/>
  <c r="C351" i="13"/>
  <c r="C350" i="13" l="1"/>
  <c r="C349" i="13" l="1"/>
  <c r="D348" i="13"/>
  <c r="C347" i="13" l="1"/>
  <c r="C346" i="13"/>
  <c r="C345" i="13" l="1"/>
  <c r="C344" i="13" l="1"/>
  <c r="M32" i="3"/>
  <c r="C343" i="13" l="1"/>
  <c r="C342" i="13" l="1"/>
  <c r="D340" i="13"/>
  <c r="C339" i="13" l="1"/>
  <c r="C338" i="13" l="1"/>
  <c r="C337" i="13" l="1"/>
  <c r="C336" i="13" l="1"/>
  <c r="C335" i="13" l="1"/>
  <c r="C334" i="13" l="1"/>
  <c r="C333" i="13" l="1"/>
  <c r="C332" i="13" l="1"/>
  <c r="C331" i="13" l="1"/>
  <c r="C330" i="13" l="1"/>
  <c r="C329" i="13" l="1"/>
  <c r="D328" i="13" l="1"/>
  <c r="M9" i="3" l="1"/>
  <c r="C326" i="13"/>
  <c r="C325" i="13" l="1"/>
  <c r="C324" i="13" l="1"/>
  <c r="C323" i="13" l="1"/>
  <c r="C322" i="13" l="1"/>
  <c r="C321" i="13" l="1"/>
  <c r="C320" i="13" l="1"/>
  <c r="C318" i="13" l="1"/>
  <c r="C317" i="13" l="1"/>
  <c r="C316" i="13" l="1"/>
  <c r="C315" i="13" l="1"/>
  <c r="D314" i="13" l="1"/>
  <c r="C313" i="13"/>
  <c r="C312" i="13" l="1"/>
  <c r="C311" i="13"/>
  <c r="C310" i="13" l="1"/>
  <c r="C309" i="13"/>
  <c r="C308" i="13" l="1"/>
  <c r="C307" i="13" l="1"/>
  <c r="C306" i="13" l="1"/>
  <c r="D305" i="13" l="1"/>
  <c r="C304" i="13" l="1"/>
  <c r="C303" i="13" l="1"/>
  <c r="M20" i="6"/>
  <c r="C301" i="13" l="1"/>
  <c r="C300" i="13"/>
  <c r="C299" i="13" l="1"/>
  <c r="C298" i="13" l="1"/>
  <c r="C297" i="13" l="1"/>
  <c r="C296" i="13" l="1"/>
  <c r="C295" i="13" l="1"/>
  <c r="C294" i="13" l="1"/>
  <c r="C293" i="13" l="1"/>
  <c r="C292" i="13" l="1"/>
  <c r="C291" i="13" l="1"/>
  <c r="C290" i="13"/>
  <c r="C289" i="13" l="1"/>
  <c r="D288" i="13" l="1"/>
  <c r="C287" i="13"/>
  <c r="C286" i="13" l="1"/>
  <c r="C285" i="13" l="1"/>
  <c r="C284" i="13" l="1"/>
  <c r="C283" i="13" l="1"/>
  <c r="C282" i="13" l="1"/>
  <c r="C281" i="13"/>
  <c r="C280" i="13"/>
  <c r="C279" i="13" l="1"/>
  <c r="C278" i="13"/>
  <c r="C277" i="13" l="1"/>
  <c r="C276" i="13" l="1"/>
  <c r="D275" i="13"/>
  <c r="C274" i="13" l="1"/>
  <c r="C273" i="13"/>
  <c r="C272" i="13" l="1"/>
  <c r="C271" i="13" l="1"/>
  <c r="M5" i="6"/>
  <c r="M4" i="6"/>
  <c r="M16" i="6" l="1"/>
  <c r="C269" i="13" l="1"/>
  <c r="M65" i="3"/>
  <c r="M64" i="3"/>
  <c r="C268" i="13" l="1"/>
  <c r="C267" i="13" l="1"/>
  <c r="C266" i="13" l="1"/>
  <c r="C265" i="13" l="1"/>
  <c r="C264" i="13"/>
  <c r="C263" i="13" l="1"/>
  <c r="D262" i="13"/>
  <c r="M56" i="3"/>
  <c r="C261" i="13" l="1"/>
  <c r="C260" i="13" l="1"/>
  <c r="C259" i="13" l="1"/>
  <c r="C258" i="13" l="1"/>
  <c r="C257" i="13" l="1"/>
  <c r="C256" i="13"/>
  <c r="M11" i="6" l="1"/>
  <c r="C255" i="13"/>
  <c r="C254" i="13" l="1"/>
  <c r="C251" i="13" l="1"/>
  <c r="D253" i="13"/>
  <c r="C250" i="13" l="1"/>
  <c r="C249" i="13" l="1"/>
  <c r="C248" i="13"/>
  <c r="C247" i="13" l="1"/>
  <c r="C246" i="13" l="1"/>
  <c r="C245" i="13" l="1"/>
  <c r="C244" i="13" l="1"/>
  <c r="D243" i="13"/>
  <c r="C242" i="13" l="1"/>
  <c r="C241" i="13" l="1"/>
  <c r="C240" i="13" l="1"/>
  <c r="C238" i="13" l="1"/>
  <c r="C237" i="13" l="1"/>
  <c r="C236" i="13" l="1"/>
  <c r="C235" i="13" l="1"/>
  <c r="C234" i="13" l="1"/>
  <c r="C233" i="13" l="1"/>
  <c r="C232" i="13" l="1"/>
  <c r="C231" i="13" l="1"/>
  <c r="C230" i="13"/>
  <c r="C229" i="13" l="1"/>
  <c r="C228" i="13" l="1"/>
  <c r="C227" i="13" l="1"/>
  <c r="C226" i="13" l="1"/>
  <c r="C225" i="13" l="1"/>
  <c r="D224" i="13"/>
  <c r="C223" i="13"/>
  <c r="C222" i="13" l="1"/>
  <c r="C221" i="13" l="1"/>
  <c r="C220" i="13" l="1"/>
  <c r="C218" i="13" l="1"/>
  <c r="M8" i="6" l="1"/>
  <c r="C217" i="13" l="1"/>
  <c r="C216" i="13" l="1"/>
  <c r="C215" i="13" l="1"/>
  <c r="C214" i="13" l="1"/>
  <c r="C213" i="13"/>
  <c r="C212" i="13" l="1"/>
  <c r="C211" i="13" l="1"/>
  <c r="C210" i="13" l="1"/>
  <c r="C209" i="13" l="1"/>
  <c r="C208" i="13" l="1"/>
  <c r="C206" i="13" l="1"/>
  <c r="C205" i="13" l="1"/>
  <c r="C204" i="13" l="1"/>
  <c r="D203" i="13" l="1"/>
  <c r="C202" i="13" l="1"/>
  <c r="C201" i="13" l="1"/>
  <c r="J18" i="6" l="1"/>
  <c r="F18" i="6"/>
  <c r="N18" i="6" l="1"/>
  <c r="C200" i="13" l="1"/>
  <c r="C199" i="13" l="1"/>
  <c r="C198" i="13" l="1"/>
  <c r="C197" i="13" l="1"/>
  <c r="C25" i="6"/>
  <c r="F25" i="6" s="1"/>
  <c r="G25" i="6"/>
  <c r="I25" i="6"/>
  <c r="K25" i="6"/>
  <c r="N25" i="6"/>
  <c r="J25" i="6" l="1"/>
  <c r="C195" i="13"/>
  <c r="C194" i="13" l="1"/>
  <c r="C193" i="13" l="1"/>
  <c r="C192" i="13" l="1"/>
  <c r="C191" i="13" l="1"/>
  <c r="C190" i="13" l="1"/>
  <c r="C189" i="13"/>
  <c r="C188" i="13" l="1"/>
  <c r="C187" i="13" l="1"/>
  <c r="C186" i="13" l="1"/>
  <c r="C185" i="13" l="1"/>
  <c r="C184" i="13" l="1"/>
  <c r="C183" i="13" l="1"/>
  <c r="D182" i="13" l="1"/>
  <c r="D181" i="13" l="1"/>
  <c r="C180" i="13" l="1"/>
  <c r="C178" i="13" l="1"/>
  <c r="C177" i="13" l="1"/>
  <c r="C176" i="13" l="1"/>
  <c r="C175" i="13" l="1"/>
  <c r="C174" i="13" l="1"/>
  <c r="C172" i="13" l="1"/>
  <c r="C171" i="13"/>
  <c r="C170" i="13" l="1"/>
  <c r="C169" i="13" l="1"/>
  <c r="C168" i="13" l="1"/>
  <c r="C167" i="13" l="1"/>
  <c r="D166" i="13" l="1"/>
  <c r="C165" i="13" l="1"/>
  <c r="C164" i="13" l="1"/>
  <c r="C163" i="13"/>
  <c r="C161" i="13" l="1"/>
  <c r="C162" i="13"/>
  <c r="C160" i="13" l="1"/>
  <c r="C159" i="13" l="1"/>
  <c r="C158" i="13"/>
  <c r="C157" i="13" l="1"/>
  <c r="C156" i="13" l="1"/>
  <c r="C155" i="13"/>
  <c r="C154" i="13" l="1"/>
  <c r="M38" i="3" l="1"/>
  <c r="C152" i="13" l="1"/>
  <c r="L20" i="6" l="1"/>
  <c r="L8" i="6" l="1"/>
  <c r="C151" i="13" l="1"/>
  <c r="C150" i="13" l="1"/>
  <c r="C149" i="13" l="1"/>
  <c r="C148" i="13" l="1"/>
  <c r="C147" i="13" l="1"/>
  <c r="C145" i="13" l="1"/>
  <c r="M9" i="6"/>
  <c r="C144" i="13" l="1"/>
  <c r="C143" i="13" l="1"/>
  <c r="C142" i="13" l="1"/>
  <c r="C141" i="13" l="1"/>
  <c r="C140" i="13" l="1"/>
  <c r="C139" i="13" l="1"/>
  <c r="C138" i="13"/>
  <c r="C137" i="13" l="1"/>
  <c r="D136" i="13"/>
  <c r="C135" i="13" l="1"/>
  <c r="C134" i="13" l="1"/>
  <c r="D133" i="13" l="1"/>
  <c r="L15" i="6" l="1"/>
  <c r="C132" i="13" l="1"/>
  <c r="C131" i="13" l="1"/>
  <c r="C130" i="13" l="1"/>
  <c r="C129" i="13" l="1"/>
  <c r="C128" i="13"/>
  <c r="C127" i="13" l="1"/>
  <c r="C126" i="13" l="1"/>
  <c r="C125" i="13" l="1"/>
  <c r="C124" i="13" l="1"/>
  <c r="D123" i="13" l="1"/>
  <c r="C122" i="13" l="1"/>
  <c r="D121" i="13" l="1"/>
  <c r="C120" i="13"/>
  <c r="C119" i="13"/>
  <c r="C118" i="13" l="1"/>
  <c r="C117" i="13" l="1"/>
  <c r="C116" i="13" l="1"/>
  <c r="C115" i="13" l="1"/>
  <c r="C114" i="13"/>
  <c r="D113" i="13" l="1"/>
  <c r="C112" i="13" l="1"/>
  <c r="C111" i="13" l="1"/>
  <c r="M100" i="3" l="1"/>
  <c r="C109" i="13" l="1"/>
  <c r="C108" i="13"/>
  <c r="M90" i="3" l="1"/>
  <c r="C107" i="13" l="1"/>
  <c r="C106" i="13" l="1"/>
  <c r="M85" i="3"/>
  <c r="M84" i="3"/>
  <c r="C105" i="13" l="1"/>
  <c r="C104" i="13"/>
  <c r="C103" i="13" l="1"/>
  <c r="C102" i="13" l="1"/>
  <c r="C101" i="13"/>
  <c r="C100" i="13" l="1"/>
  <c r="C99" i="13" l="1"/>
  <c r="C98" i="13" l="1"/>
  <c r="C97" i="13" l="1"/>
  <c r="D96" i="13" l="1"/>
  <c r="C95" i="13"/>
  <c r="C94" i="13"/>
  <c r="C93" i="13" l="1"/>
  <c r="C92" i="13" l="1"/>
  <c r="C91" i="13" l="1"/>
  <c r="D90" i="13" l="1"/>
  <c r="C89" i="13" l="1"/>
  <c r="C88" i="13" l="1"/>
  <c r="C87" i="13" l="1"/>
  <c r="C86" i="13" l="1"/>
  <c r="C85" i="13" l="1"/>
  <c r="C83" i="13"/>
  <c r="C82" i="13" l="1"/>
  <c r="C81" i="13" l="1"/>
  <c r="C80" i="13" l="1"/>
  <c r="C79" i="13" l="1"/>
  <c r="C78" i="13" l="1"/>
  <c r="D77" i="13"/>
  <c r="C76" i="13" l="1"/>
  <c r="C75" i="13" l="1"/>
  <c r="C74" i="13" l="1"/>
  <c r="C73" i="13" l="1"/>
  <c r="C72" i="13" l="1"/>
  <c r="C71" i="13" l="1"/>
  <c r="C70" i="13"/>
  <c r="D69" i="13" l="1"/>
  <c r="C67" i="13" l="1"/>
  <c r="C68" i="13"/>
  <c r="C66" i="13" l="1"/>
  <c r="C65" i="13" l="1"/>
  <c r="C64" i="13" l="1"/>
  <c r="C63" i="13" l="1"/>
  <c r="C62" i="13"/>
  <c r="C61" i="13"/>
  <c r="C60" i="13" l="1"/>
  <c r="D59" i="13" l="1"/>
  <c r="D58" i="13"/>
  <c r="C57" i="13"/>
  <c r="C56" i="13" l="1"/>
  <c r="C55" i="13" l="1"/>
  <c r="I21" i="6"/>
  <c r="E21" i="6"/>
  <c r="L9" i="6"/>
  <c r="H21" i="6"/>
  <c r="I12" i="6"/>
  <c r="E12" i="6"/>
  <c r="D12" i="6"/>
  <c r="D21" i="6" l="1"/>
  <c r="D23" i="6" s="1"/>
  <c r="P4" i="6" s="1"/>
  <c r="H12" i="6"/>
  <c r="H23" i="6" s="1"/>
  <c r="P8" i="6" s="1"/>
  <c r="M21" i="6"/>
  <c r="E23" i="6"/>
  <c r="Q4" i="6" s="1"/>
  <c r="I23" i="6"/>
  <c r="Q8" i="6" s="1"/>
  <c r="C53" i="13"/>
  <c r="C52" i="13" l="1"/>
  <c r="C51" i="13" l="1"/>
  <c r="D50" i="13"/>
  <c r="C49" i="13" l="1"/>
  <c r="C48" i="13"/>
  <c r="C47" i="13" l="1"/>
  <c r="C46" i="13" l="1"/>
  <c r="C45" i="13" l="1"/>
  <c r="M46" i="3" l="1"/>
  <c r="C44" i="13" l="1"/>
  <c r="C43" i="13" l="1"/>
  <c r="C42" i="13" l="1"/>
  <c r="C41" i="13"/>
  <c r="C40" i="13" l="1"/>
  <c r="C39" i="13"/>
  <c r="C38" i="13"/>
  <c r="L16" i="6" l="1"/>
  <c r="J16" i="6"/>
  <c r="K16" i="6" l="1"/>
  <c r="N16" i="6" s="1"/>
  <c r="F16" i="6"/>
  <c r="C37" i="13" l="1"/>
  <c r="C36" i="13"/>
  <c r="C35" i="13" l="1"/>
  <c r="C34" i="13" l="1"/>
  <c r="J15" i="6"/>
  <c r="C21" i="6"/>
  <c r="G21" i="6" l="1"/>
  <c r="C32" i="13"/>
  <c r="C31" i="13" l="1"/>
  <c r="C30" i="13"/>
  <c r="M81" i="3"/>
  <c r="C29" i="13" l="1"/>
  <c r="C28" i="13"/>
  <c r="C26" i="13" l="1"/>
  <c r="C25" i="13" l="1"/>
  <c r="C24" i="13" l="1"/>
  <c r="C23" i="13" l="1"/>
  <c r="C22" i="13" l="1"/>
  <c r="C21" i="13" l="1"/>
  <c r="C20" i="13" l="1"/>
  <c r="C19" i="13"/>
  <c r="C18" i="13" l="1"/>
  <c r="C17" i="13" l="1"/>
  <c r="C16" i="13" l="1"/>
  <c r="C15" i="13" l="1"/>
  <c r="C14" i="13" l="1"/>
  <c r="C13" i="13" l="1"/>
  <c r="C11" i="13" l="1"/>
  <c r="C10" i="13" l="1"/>
  <c r="C9" i="13"/>
  <c r="D8" i="13"/>
  <c r="C7" i="13"/>
  <c r="C5" i="13"/>
  <c r="E5" i="13" s="1"/>
  <c r="E6" i="13" s="1"/>
  <c r="E7" i="13" s="1"/>
  <c r="E4" i="13"/>
  <c r="E3" i="13"/>
  <c r="E8" i="13" l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E377" i="13" s="1"/>
  <c r="E378" i="13" s="1"/>
  <c r="E379" i="13" s="1"/>
  <c r="E380" i="13" s="1"/>
  <c r="E381" i="13" s="1"/>
  <c r="E382" i="13" s="1"/>
  <c r="E383" i="13" s="1"/>
  <c r="E384" i="13" s="1"/>
  <c r="E385" i="13" s="1"/>
  <c r="E386" i="13" s="1"/>
  <c r="E387" i="13" s="1"/>
  <c r="E388" i="13" s="1"/>
  <c r="E389" i="13" s="1"/>
  <c r="E390" i="13" s="1"/>
  <c r="E391" i="13" s="1"/>
  <c r="E392" i="13" s="1"/>
  <c r="E393" i="13" s="1"/>
  <c r="E394" i="13" s="1"/>
  <c r="E395" i="13" s="1"/>
  <c r="E396" i="13" s="1"/>
  <c r="E397" i="13" s="1"/>
  <c r="E398" i="13" s="1"/>
  <c r="E399" i="13" s="1"/>
  <c r="E400" i="13" s="1"/>
  <c r="E401" i="13" s="1"/>
  <c r="E402" i="13" s="1"/>
  <c r="E403" i="13" s="1"/>
  <c r="E404" i="13" s="1"/>
  <c r="E405" i="13" s="1"/>
  <c r="E406" i="13" s="1"/>
  <c r="E407" i="13" s="1"/>
  <c r="E408" i="13" s="1"/>
  <c r="E409" i="13" s="1"/>
  <c r="E410" i="13" s="1"/>
  <c r="E411" i="13" s="1"/>
  <c r="E412" i="13" s="1"/>
  <c r="E413" i="13" s="1"/>
  <c r="E414" i="13" s="1"/>
  <c r="E415" i="13" s="1"/>
  <c r="E416" i="13" s="1"/>
  <c r="E417" i="13" s="1"/>
  <c r="E418" i="13" s="1"/>
  <c r="E419" i="13" s="1"/>
  <c r="E420" i="13" s="1"/>
  <c r="E421" i="13" s="1"/>
  <c r="E422" i="13" s="1"/>
  <c r="E423" i="13" s="1"/>
  <c r="E424" i="13" s="1"/>
  <c r="E425" i="13" s="1"/>
  <c r="E426" i="13" s="1"/>
  <c r="E427" i="13" s="1"/>
  <c r="E428" i="13" s="1"/>
  <c r="E429" i="13" s="1"/>
  <c r="E430" i="13" s="1"/>
  <c r="E431" i="13" s="1"/>
  <c r="E432" i="13" s="1"/>
  <c r="E433" i="13" s="1"/>
  <c r="E434" i="13" s="1"/>
  <c r="E435" i="13" s="1"/>
  <c r="E436" i="13" s="1"/>
  <c r="E437" i="13" s="1"/>
  <c r="E438" i="13" s="1"/>
  <c r="E439" i="13" s="1"/>
  <c r="E440" i="13" s="1"/>
  <c r="E441" i="13" s="1"/>
  <c r="E442" i="13" s="1"/>
  <c r="E443" i="13" s="1"/>
  <c r="E444" i="13" s="1"/>
  <c r="E445" i="13" s="1"/>
  <c r="E446" i="13" s="1"/>
  <c r="E447" i="13" s="1"/>
  <c r="E448" i="13" s="1"/>
  <c r="E449" i="13" s="1"/>
  <c r="E450" i="13" s="1"/>
  <c r="E451" i="13" s="1"/>
  <c r="E452" i="13" s="1"/>
  <c r="E453" i="13" s="1"/>
  <c r="E454" i="13" s="1"/>
  <c r="E455" i="13" s="1"/>
  <c r="E456" i="13" s="1"/>
  <c r="E457" i="13" s="1"/>
  <c r="E458" i="13" s="1"/>
  <c r="E459" i="13" s="1"/>
  <c r="E460" i="13" s="1"/>
  <c r="E461" i="13" s="1"/>
  <c r="E462" i="13" s="1"/>
  <c r="E463" i="13" s="1"/>
  <c r="E464" i="13" s="1"/>
  <c r="E465" i="13" s="1"/>
  <c r="E466" i="13" s="1"/>
  <c r="E467" i="13" s="1"/>
  <c r="E468" i="13" s="1"/>
  <c r="E469" i="13" s="1"/>
  <c r="E470" i="13" s="1"/>
  <c r="E471" i="13" s="1"/>
  <c r="E472" i="13" s="1"/>
  <c r="E473" i="13" s="1"/>
  <c r="E474" i="13" s="1"/>
  <c r="E475" i="13" s="1"/>
  <c r="E476" i="13" s="1"/>
  <c r="E477" i="13" s="1"/>
  <c r="E478" i="13" s="1"/>
  <c r="E479" i="13" s="1"/>
  <c r="E480" i="13" s="1"/>
  <c r="E481" i="13" s="1"/>
  <c r="E482" i="13" s="1"/>
  <c r="E483" i="13" s="1"/>
  <c r="E484" i="13" s="1"/>
  <c r="E485" i="13" s="1"/>
  <c r="E486" i="13" s="1"/>
  <c r="E487" i="13" s="1"/>
  <c r="E488" i="13" s="1"/>
  <c r="E489" i="13" s="1"/>
  <c r="E490" i="13" s="1"/>
  <c r="E491" i="13" s="1"/>
  <c r="E492" i="13" s="1"/>
  <c r="E493" i="13" s="1"/>
  <c r="E494" i="13" s="1"/>
  <c r="E495" i="13" s="1"/>
  <c r="E496" i="13" s="1"/>
  <c r="E497" i="13" s="1"/>
  <c r="E498" i="13" s="1"/>
  <c r="E499" i="13" s="1"/>
  <c r="E500" i="13" s="1"/>
  <c r="E501" i="13" s="1"/>
  <c r="E502" i="13" s="1"/>
  <c r="E503" i="13" s="1"/>
  <c r="E504" i="13" s="1"/>
  <c r="E505" i="13" s="1"/>
  <c r="E506" i="13" s="1"/>
  <c r="E507" i="13" s="1"/>
  <c r="E508" i="13" s="1"/>
  <c r="E509" i="13" s="1"/>
  <c r="E510" i="13" s="1"/>
  <c r="E511" i="13" s="1"/>
  <c r="E512" i="13" s="1"/>
  <c r="E513" i="13" s="1"/>
  <c r="E514" i="13" s="1"/>
  <c r="E515" i="13" s="1"/>
  <c r="E516" i="13" s="1"/>
  <c r="E517" i="13" s="1"/>
  <c r="E518" i="13" s="1"/>
  <c r="E519" i="13" s="1"/>
  <c r="E520" i="13" s="1"/>
  <c r="E521" i="13" s="1"/>
  <c r="E522" i="13" s="1"/>
  <c r="E523" i="13" s="1"/>
  <c r="E524" i="13" s="1"/>
  <c r="E525" i="13" s="1"/>
  <c r="E526" i="13" s="1"/>
  <c r="E527" i="13" s="1"/>
  <c r="E528" i="13" s="1"/>
  <c r="E529" i="13" s="1"/>
  <c r="E530" i="13" s="1"/>
  <c r="E531" i="13" s="1"/>
  <c r="E532" i="13" s="1"/>
  <c r="E533" i="13" s="1"/>
  <c r="E534" i="13" s="1"/>
  <c r="E535" i="13" s="1"/>
  <c r="E536" i="13" s="1"/>
  <c r="E537" i="13" s="1"/>
  <c r="E538" i="13" s="1"/>
  <c r="E539" i="13" s="1"/>
  <c r="E540" i="13" s="1"/>
  <c r="E541" i="13" s="1"/>
  <c r="E542" i="13" s="1"/>
  <c r="E543" i="13" s="1"/>
  <c r="E544" i="13" s="1"/>
  <c r="E545" i="13" s="1"/>
  <c r="E546" i="13" s="1"/>
  <c r="E547" i="13" s="1"/>
  <c r="E548" i="13" s="1"/>
  <c r="E549" i="13" s="1"/>
  <c r="E550" i="13" s="1"/>
  <c r="E551" i="13" s="1"/>
  <c r="E552" i="13" s="1"/>
  <c r="E553" i="13" s="1"/>
  <c r="E554" i="13" s="1"/>
  <c r="E555" i="13" s="1"/>
  <c r="E556" i="13" s="1"/>
  <c r="E557" i="13" s="1"/>
  <c r="E558" i="13" s="1"/>
  <c r="E559" i="13" s="1"/>
  <c r="E560" i="13" s="1"/>
  <c r="E561" i="13" s="1"/>
  <c r="E562" i="13" s="1"/>
  <c r="E563" i="13" s="1"/>
  <c r="E564" i="13" s="1"/>
  <c r="E565" i="13" s="1"/>
  <c r="E566" i="13" s="1"/>
  <c r="E567" i="13" s="1"/>
  <c r="E568" i="13" s="1"/>
  <c r="E569" i="13" s="1"/>
  <c r="E570" i="13" s="1"/>
  <c r="E571" i="13" s="1"/>
  <c r="E572" i="13" s="1"/>
  <c r="E573" i="13" s="1"/>
  <c r="E574" i="13" s="1"/>
  <c r="E575" i="13" s="1"/>
  <c r="E576" i="13" s="1"/>
  <c r="E577" i="13" s="1"/>
  <c r="E578" i="13" s="1"/>
  <c r="E579" i="13" s="1"/>
  <c r="E580" i="13" s="1"/>
  <c r="E581" i="13" s="1"/>
  <c r="E582" i="13" s="1"/>
  <c r="E583" i="13" s="1"/>
  <c r="E584" i="13" s="1"/>
  <c r="E585" i="13" s="1"/>
  <c r="E586" i="13" s="1"/>
  <c r="E587" i="13" s="1"/>
  <c r="E588" i="13" s="1"/>
  <c r="E589" i="13" s="1"/>
  <c r="E590" i="13" s="1"/>
  <c r="E591" i="13" s="1"/>
  <c r="E592" i="13" s="1"/>
  <c r="E593" i="13" s="1"/>
  <c r="E594" i="13" s="1"/>
  <c r="E595" i="13" s="1"/>
  <c r="E596" i="13" s="1"/>
  <c r="E597" i="13" s="1"/>
  <c r="E598" i="13" s="1"/>
  <c r="E599" i="13" s="1"/>
  <c r="E600" i="13" s="1"/>
  <c r="E601" i="13" s="1"/>
  <c r="E602" i="13" s="1"/>
  <c r="E603" i="13" s="1"/>
  <c r="E604" i="13" s="1"/>
  <c r="E605" i="13" s="1"/>
  <c r="E606" i="13" s="1"/>
  <c r="E607" i="13" s="1"/>
  <c r="E608" i="13" s="1"/>
  <c r="E609" i="13" s="1"/>
  <c r="E610" i="13" s="1"/>
  <c r="E611" i="13" s="1"/>
  <c r="E612" i="13" s="1"/>
  <c r="E613" i="13" s="1"/>
  <c r="E614" i="13" s="1"/>
  <c r="E615" i="13" s="1"/>
  <c r="E616" i="13" s="1"/>
  <c r="E617" i="13" s="1"/>
  <c r="E618" i="13" s="1"/>
  <c r="E619" i="13" s="1"/>
  <c r="E620" i="13" s="1"/>
  <c r="E621" i="13" s="1"/>
  <c r="E622" i="13" s="1"/>
  <c r="E623" i="13" s="1"/>
  <c r="E624" i="13" s="1"/>
  <c r="E625" i="13" s="1"/>
  <c r="E626" i="13" s="1"/>
  <c r="E627" i="13" s="1"/>
  <c r="E628" i="13" s="1"/>
  <c r="E629" i="13" s="1"/>
  <c r="E630" i="13" s="1"/>
  <c r="E631" i="13" s="1"/>
  <c r="E632" i="13" s="1"/>
  <c r="E633" i="13" s="1"/>
  <c r="E634" i="13" s="1"/>
  <c r="E635" i="13" s="1"/>
  <c r="E636" i="13" s="1"/>
  <c r="E637" i="13" s="1"/>
  <c r="E638" i="13" s="1"/>
  <c r="E639" i="13" s="1"/>
  <c r="E640" i="13" s="1"/>
  <c r="E641" i="13" s="1"/>
  <c r="E642" i="13" s="1"/>
  <c r="E643" i="13" s="1"/>
  <c r="E644" i="13" s="1"/>
  <c r="E645" i="13" s="1"/>
  <c r="E646" i="13" s="1"/>
  <c r="E647" i="13" s="1"/>
  <c r="E648" i="13" s="1"/>
  <c r="E649" i="13" s="1"/>
  <c r="E650" i="13" s="1"/>
  <c r="E651" i="13" s="1"/>
  <c r="E652" i="13" s="1"/>
  <c r="E653" i="13" s="1"/>
  <c r="E654" i="13" s="1"/>
  <c r="E655" i="13" s="1"/>
  <c r="E656" i="13" s="1"/>
  <c r="E657" i="13" s="1"/>
  <c r="E658" i="13" s="1"/>
  <c r="E659" i="13" s="1"/>
  <c r="E660" i="13" s="1"/>
  <c r="E661" i="13" s="1"/>
  <c r="E662" i="13" s="1"/>
  <c r="E663" i="13" s="1"/>
  <c r="E664" i="13" s="1"/>
  <c r="E665" i="13" s="1"/>
  <c r="E666" i="13" s="1"/>
  <c r="E667" i="13" s="1"/>
  <c r="E668" i="13" s="1"/>
  <c r="E669" i="13" s="1"/>
  <c r="E670" i="13" s="1"/>
  <c r="E671" i="13" s="1"/>
  <c r="E672" i="13" s="1"/>
  <c r="E673" i="13" s="1"/>
  <c r="E674" i="13" s="1"/>
  <c r="E675" i="13" s="1"/>
  <c r="E676" i="13" s="1"/>
  <c r="E677" i="13" s="1"/>
  <c r="E678" i="13" s="1"/>
  <c r="E679" i="13" s="1"/>
  <c r="E680" i="13" s="1"/>
  <c r="E681" i="13" s="1"/>
  <c r="E682" i="13" s="1"/>
  <c r="E683" i="13" s="1"/>
  <c r="E684" i="13" s="1"/>
  <c r="E685" i="13" s="1"/>
  <c r="E686" i="13" s="1"/>
  <c r="E687" i="13" s="1"/>
  <c r="E688" i="13" s="1"/>
  <c r="E689" i="13" s="1"/>
  <c r="E690" i="13" s="1"/>
  <c r="E691" i="13" s="1"/>
  <c r="E692" i="13" s="1"/>
  <c r="E693" i="13" s="1"/>
  <c r="E694" i="13" s="1"/>
  <c r="E695" i="13" s="1"/>
  <c r="E696" i="13" s="1"/>
  <c r="E697" i="13" s="1"/>
  <c r="E698" i="13" s="1"/>
  <c r="E699" i="13" s="1"/>
  <c r="E700" i="13" s="1"/>
  <c r="E701" i="13" s="1"/>
  <c r="E702" i="13" s="1"/>
  <c r="E703" i="13" s="1"/>
  <c r="E704" i="13" s="1"/>
  <c r="E705" i="13" s="1"/>
  <c r="E706" i="13" s="1"/>
  <c r="E707" i="13" s="1"/>
  <c r="E708" i="13" s="1"/>
  <c r="E709" i="13" s="1"/>
  <c r="E710" i="13" s="1"/>
  <c r="E711" i="13" s="1"/>
  <c r="E712" i="13" s="1"/>
  <c r="E713" i="13" s="1"/>
  <c r="E714" i="13" s="1"/>
  <c r="E715" i="13" s="1"/>
  <c r="E716" i="13" s="1"/>
  <c r="E717" i="13" s="1"/>
  <c r="E718" i="13" s="1"/>
  <c r="E719" i="13" s="1"/>
  <c r="E720" i="13" s="1"/>
  <c r="E721" i="13" s="1"/>
  <c r="E722" i="13" s="1"/>
  <c r="E723" i="13" s="1"/>
  <c r="E724" i="13" s="1"/>
  <c r="E725" i="13" s="1"/>
  <c r="E726" i="13" s="1"/>
  <c r="E727" i="13" s="1"/>
  <c r="E728" i="13" s="1"/>
  <c r="E729" i="13" s="1"/>
  <c r="E730" i="13" s="1"/>
  <c r="E731" i="13" s="1"/>
  <c r="E732" i="13" s="1"/>
  <c r="E733" i="13" s="1"/>
  <c r="E734" i="13" s="1"/>
  <c r="E735" i="13" s="1"/>
  <c r="E736" i="13" s="1"/>
  <c r="E737" i="13" s="1"/>
  <c r="E738" i="13" s="1"/>
  <c r="E739" i="13" s="1"/>
  <c r="E740" i="13" s="1"/>
  <c r="E741" i="13" s="1"/>
  <c r="E742" i="13" s="1"/>
  <c r="E743" i="13" s="1"/>
  <c r="E744" i="13" s="1"/>
  <c r="E745" i="13" s="1"/>
  <c r="E746" i="13" s="1"/>
  <c r="E747" i="13" s="1"/>
  <c r="E748" i="13" s="1"/>
  <c r="E749" i="13" s="1"/>
  <c r="E750" i="13" s="1"/>
  <c r="E751" i="13" s="1"/>
  <c r="E752" i="13" s="1"/>
  <c r="E753" i="13" s="1"/>
  <c r="E754" i="13" s="1"/>
  <c r="E755" i="13" s="1"/>
  <c r="E756" i="13" s="1"/>
  <c r="E757" i="13" s="1"/>
  <c r="E758" i="13" s="1"/>
  <c r="E759" i="13" s="1"/>
  <c r="E760" i="13" s="1"/>
  <c r="E761" i="13" s="1"/>
  <c r="E762" i="13" s="1"/>
  <c r="E763" i="13" s="1"/>
  <c r="E764" i="13" s="1"/>
  <c r="E765" i="13" s="1"/>
  <c r="E766" i="13" s="1"/>
  <c r="E767" i="13" s="1"/>
  <c r="E768" i="13" s="1"/>
  <c r="E769" i="13" s="1"/>
  <c r="E770" i="13" s="1"/>
  <c r="E771" i="13" s="1"/>
  <c r="E772" i="13" s="1"/>
  <c r="E773" i="13" s="1"/>
  <c r="E774" i="13" s="1"/>
  <c r="E775" i="13" s="1"/>
  <c r="E776" i="13" s="1"/>
  <c r="E777" i="13" s="1"/>
  <c r="E778" i="13" s="1"/>
  <c r="E779" i="13" s="1"/>
  <c r="E780" i="13" s="1"/>
  <c r="E781" i="13" s="1"/>
  <c r="E782" i="13" s="1"/>
  <c r="E783" i="13" s="1"/>
  <c r="E784" i="13" s="1"/>
  <c r="E785" i="13" s="1"/>
  <c r="E786" i="13" s="1"/>
  <c r="E787" i="13" s="1"/>
  <c r="E788" i="13" s="1"/>
  <c r="E789" i="13" s="1"/>
  <c r="E790" i="13" s="1"/>
  <c r="E791" i="13" s="1"/>
  <c r="E792" i="13" s="1"/>
  <c r="E793" i="13" s="1"/>
  <c r="E794" i="13" s="1"/>
  <c r="E795" i="13" s="1"/>
  <c r="E796" i="13" s="1"/>
  <c r="E797" i="13" s="1"/>
  <c r="E798" i="13" s="1"/>
  <c r="E799" i="13" s="1"/>
  <c r="E800" i="13" s="1"/>
  <c r="E801" i="13" s="1"/>
  <c r="E802" i="13" s="1"/>
  <c r="E803" i="13" s="1"/>
  <c r="E804" i="13" s="1"/>
  <c r="E805" i="13" s="1"/>
  <c r="E806" i="13" s="1"/>
  <c r="E807" i="13" s="1"/>
  <c r="E808" i="13" s="1"/>
  <c r="E809" i="13" s="1"/>
  <c r="E810" i="13" s="1"/>
  <c r="E811" i="13" s="1"/>
  <c r="E812" i="13" s="1"/>
  <c r="E813" i="13" s="1"/>
  <c r="E814" i="13" s="1"/>
  <c r="E815" i="13" s="1"/>
  <c r="E816" i="13" s="1"/>
  <c r="E817" i="13" s="1"/>
  <c r="E818" i="13" s="1"/>
  <c r="E819" i="13" s="1"/>
  <c r="E820" i="13" s="1"/>
  <c r="E821" i="13" s="1"/>
  <c r="E822" i="13" s="1"/>
  <c r="E823" i="13" s="1"/>
  <c r="E824" i="13" s="1"/>
  <c r="E825" i="13" s="1"/>
  <c r="E826" i="13" s="1"/>
  <c r="E827" i="13" s="1"/>
  <c r="E828" i="13" s="1"/>
  <c r="E829" i="13" s="1"/>
  <c r="E830" i="13" s="1"/>
  <c r="E831" i="13" s="1"/>
  <c r="E832" i="13" s="1"/>
  <c r="E833" i="13" s="1"/>
  <c r="E834" i="13" s="1"/>
  <c r="E835" i="13" s="1"/>
  <c r="E836" i="13" s="1"/>
  <c r="E837" i="13" s="1"/>
  <c r="E838" i="13" s="1"/>
  <c r="E839" i="13" s="1"/>
  <c r="E840" i="13" s="1"/>
  <c r="E841" i="13" s="1"/>
  <c r="E842" i="13" s="1"/>
  <c r="E843" i="13" s="1"/>
  <c r="E844" i="13" s="1"/>
  <c r="E845" i="13" s="1"/>
  <c r="E846" i="13" s="1"/>
  <c r="E847" i="13" s="1"/>
  <c r="E848" i="13" s="1"/>
  <c r="E849" i="13" s="1"/>
  <c r="E850" i="13" s="1"/>
  <c r="E851" i="13" s="1"/>
  <c r="E852" i="13" s="1"/>
  <c r="E853" i="13" s="1"/>
  <c r="E854" i="13" s="1"/>
  <c r="E855" i="13" s="1"/>
  <c r="E856" i="13" s="1"/>
  <c r="E857" i="13" s="1"/>
  <c r="E858" i="13" s="1"/>
  <c r="E859" i="13" s="1"/>
  <c r="E860" i="13" s="1"/>
  <c r="E861" i="13" s="1"/>
  <c r="E862" i="13" s="1"/>
  <c r="E863" i="13" s="1"/>
  <c r="E864" i="13" s="1"/>
  <c r="E865" i="13" s="1"/>
  <c r="E866" i="13" s="1"/>
  <c r="E867" i="13" s="1"/>
  <c r="E868" i="13" s="1"/>
  <c r="E869" i="13" s="1"/>
  <c r="E870" i="13" s="1"/>
  <c r="E871" i="13" s="1"/>
  <c r="E872" i="13" s="1"/>
  <c r="E873" i="13" s="1"/>
  <c r="E874" i="13" s="1"/>
  <c r="E875" i="13" s="1"/>
  <c r="E876" i="13" s="1"/>
  <c r="E877" i="13" s="1"/>
  <c r="E878" i="13" s="1"/>
  <c r="E879" i="13" s="1"/>
  <c r="E880" i="13" s="1"/>
  <c r="E881" i="13" s="1"/>
  <c r="E882" i="13" s="1"/>
  <c r="E883" i="13" s="1"/>
  <c r="E884" i="13" s="1"/>
  <c r="E885" i="13" s="1"/>
  <c r="E886" i="13" s="1"/>
  <c r="E887" i="13" s="1"/>
  <c r="E888" i="13" s="1"/>
  <c r="E889" i="13" s="1"/>
  <c r="E890" i="13" s="1"/>
  <c r="E891" i="13" s="1"/>
  <c r="E892" i="13" s="1"/>
  <c r="E893" i="13" s="1"/>
  <c r="E894" i="13" s="1"/>
  <c r="E895" i="13" s="1"/>
  <c r="E896" i="13" s="1"/>
  <c r="E897" i="13" s="1"/>
  <c r="E898" i="13" s="1"/>
  <c r="E899" i="13" s="1"/>
  <c r="E900" i="13" s="1"/>
  <c r="E901" i="13" s="1"/>
  <c r="E902" i="13" s="1"/>
  <c r="E903" i="13" s="1"/>
  <c r="E904" i="13" s="1"/>
  <c r="E905" i="13" s="1"/>
  <c r="E906" i="13" s="1"/>
  <c r="E907" i="13" s="1"/>
  <c r="E908" i="13" s="1"/>
  <c r="E909" i="13" s="1"/>
  <c r="E910" i="13" s="1"/>
  <c r="E911" i="13" s="1"/>
  <c r="E912" i="13" s="1"/>
  <c r="E913" i="13" s="1"/>
  <c r="E914" i="13" s="1"/>
  <c r="E915" i="13" s="1"/>
  <c r="E916" i="13" s="1"/>
  <c r="E917" i="13" s="1"/>
  <c r="E918" i="13" s="1"/>
  <c r="E919" i="13" s="1"/>
  <c r="E920" i="13" s="1"/>
  <c r="E921" i="13" s="1"/>
  <c r="E922" i="13" s="1"/>
  <c r="E923" i="13" s="1"/>
  <c r="E924" i="13" s="1"/>
  <c r="E925" i="13" s="1"/>
  <c r="E926" i="13" s="1"/>
  <c r="E927" i="13" s="1"/>
  <c r="E928" i="13" s="1"/>
  <c r="E929" i="13" s="1"/>
  <c r="E930" i="13" s="1"/>
  <c r="E931" i="13" s="1"/>
  <c r="E932" i="13" s="1"/>
  <c r="E933" i="13" s="1"/>
  <c r="E934" i="13" s="1"/>
  <c r="E935" i="13" s="1"/>
  <c r="E936" i="13" s="1"/>
  <c r="E937" i="13" s="1"/>
  <c r="E938" i="13" s="1"/>
  <c r="E939" i="13" s="1"/>
  <c r="E940" i="13" s="1"/>
  <c r="E941" i="13" s="1"/>
  <c r="E942" i="13" s="1"/>
  <c r="E943" i="13" s="1"/>
  <c r="E944" i="13" s="1"/>
  <c r="E945" i="13" s="1"/>
  <c r="E946" i="13" s="1"/>
  <c r="E947" i="13" s="1"/>
  <c r="E948" i="13" s="1"/>
  <c r="E949" i="13" s="1"/>
  <c r="E950" i="13" s="1"/>
  <c r="E951" i="13" s="1"/>
  <c r="E952" i="13" s="1"/>
  <c r="E953" i="13" s="1"/>
  <c r="E954" i="13" s="1"/>
  <c r="E955" i="13" s="1"/>
  <c r="E956" i="13" s="1"/>
  <c r="E957" i="13" s="1"/>
  <c r="E958" i="13" s="1"/>
  <c r="E959" i="13" s="1"/>
  <c r="E960" i="13" s="1"/>
  <c r="E961" i="13" s="1"/>
  <c r="E962" i="13" s="1"/>
  <c r="E963" i="13" s="1"/>
  <c r="E964" i="13" s="1"/>
  <c r="E965" i="13" s="1"/>
  <c r="E966" i="13" s="1"/>
  <c r="E967" i="13" s="1"/>
  <c r="E968" i="13" s="1"/>
  <c r="E969" i="13" s="1"/>
  <c r="E970" i="13" s="1"/>
  <c r="E971" i="13" s="1"/>
  <c r="E972" i="13" s="1"/>
  <c r="E973" i="13" s="1"/>
  <c r="E974" i="13" s="1"/>
  <c r="E975" i="13" s="1"/>
  <c r="E976" i="13" s="1"/>
  <c r="E977" i="13" s="1"/>
  <c r="E978" i="13" s="1"/>
  <c r="E979" i="13" s="1"/>
  <c r="E980" i="13" s="1"/>
  <c r="E981" i="13" s="1"/>
  <c r="E982" i="13" s="1"/>
  <c r="E983" i="13" s="1"/>
  <c r="E984" i="13" s="1"/>
  <c r="E985" i="13" s="1"/>
  <c r="E986" i="13" s="1"/>
  <c r="E987" i="13" s="1"/>
  <c r="E988" i="13" s="1"/>
  <c r="E989" i="13" s="1"/>
  <c r="E990" i="13" s="1"/>
  <c r="E991" i="13" s="1"/>
  <c r="E992" i="13" s="1"/>
  <c r="E993" i="13" s="1"/>
  <c r="E994" i="13" s="1"/>
  <c r="E995" i="13" s="1"/>
  <c r="E996" i="13" s="1"/>
  <c r="E997" i="13" s="1"/>
  <c r="E998" i="13" s="1"/>
  <c r="E999" i="13" s="1"/>
  <c r="E1000" i="13" s="1"/>
  <c r="J14" i="6" l="1"/>
  <c r="R3" i="6"/>
  <c r="J17" i="6" l="1"/>
  <c r="F14" i="6"/>
  <c r="F17" i="6"/>
  <c r="K14" i="6"/>
  <c r="N14" i="6" s="1"/>
  <c r="Y4" i="2"/>
  <c r="Q4" i="2"/>
  <c r="N17" i="6" l="1"/>
  <c r="M40" i="3" l="1"/>
  <c r="M39" i="3" l="1"/>
  <c r="R7" i="6" l="1"/>
  <c r="K15" i="6"/>
  <c r="L5" i="6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X4" i="2"/>
  <c r="W4" i="2"/>
  <c r="T4" i="2"/>
  <c r="M12" i="6" l="1"/>
  <c r="M23" i="6" s="1"/>
  <c r="M22" i="3" l="1"/>
  <c r="M23" i="3"/>
  <c r="M24" i="3"/>
  <c r="M27" i="3"/>
  <c r="M28" i="3"/>
  <c r="M29" i="3"/>
  <c r="M30" i="3"/>
  <c r="M33" i="3"/>
  <c r="M34" i="3"/>
  <c r="M35" i="3"/>
  <c r="M36" i="3"/>
  <c r="M37" i="3"/>
  <c r="M41" i="3"/>
  <c r="M42" i="3"/>
  <c r="M43" i="3"/>
  <c r="M44" i="3"/>
  <c r="M45" i="3"/>
  <c r="M47" i="3"/>
  <c r="M48" i="3"/>
  <c r="M49" i="3"/>
  <c r="M50" i="3"/>
  <c r="M51" i="3"/>
  <c r="M52" i="3"/>
  <c r="M53" i="3"/>
  <c r="M54" i="3"/>
  <c r="M55" i="3"/>
  <c r="M57" i="3"/>
  <c r="M58" i="3"/>
  <c r="M59" i="3"/>
  <c r="M60" i="3"/>
  <c r="M61" i="3"/>
  <c r="M62" i="3"/>
  <c r="M63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2" i="3"/>
  <c r="M83" i="3"/>
  <c r="M86" i="3"/>
  <c r="M87" i="3"/>
  <c r="M88" i="3"/>
  <c r="M89" i="3"/>
  <c r="M91" i="3"/>
  <c r="M92" i="3"/>
  <c r="M93" i="3"/>
  <c r="M94" i="3"/>
  <c r="M95" i="3"/>
  <c r="M96" i="3"/>
  <c r="M97" i="3"/>
  <c r="M98" i="3"/>
  <c r="M99" i="3"/>
  <c r="M101" i="3"/>
  <c r="M102" i="3"/>
  <c r="M103" i="3"/>
  <c r="M104" i="3"/>
  <c r="M105" i="3"/>
  <c r="M106" i="3"/>
  <c r="M107" i="3"/>
  <c r="M108" i="3"/>
  <c r="M109" i="3"/>
  <c r="M110" i="3"/>
  <c r="M111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G12" i="6"/>
  <c r="G23" i="6" s="1"/>
  <c r="C12" i="6"/>
  <c r="C23" i="6" s="1"/>
  <c r="O4" i="6" s="1"/>
  <c r="S4" i="2"/>
  <c r="R4" i="2"/>
  <c r="O8" i="6" l="1"/>
  <c r="F4" i="6"/>
  <c r="K8" i="6"/>
  <c r="J8" i="6"/>
  <c r="F8" i="6"/>
  <c r="K9" i="6"/>
  <c r="S7" i="6"/>
  <c r="N8" i="6" l="1"/>
  <c r="F15" i="6" l="1"/>
  <c r="N15" i="6" l="1"/>
  <c r="K5" i="6" l="1"/>
  <c r="K7" i="6"/>
  <c r="P11" i="6" l="1"/>
  <c r="Q11" i="6"/>
  <c r="L21" i="6" l="1"/>
  <c r="K20" i="6"/>
  <c r="K21" i="6" s="1"/>
  <c r="J20" i="6"/>
  <c r="J21" i="6" s="1"/>
  <c r="F20" i="6"/>
  <c r="F21" i="6" s="1"/>
  <c r="N20" i="6" l="1"/>
  <c r="N21" i="6" s="1"/>
  <c r="F7" i="6" l="1"/>
  <c r="J7" i="6"/>
  <c r="N7" i="6" l="1"/>
  <c r="M3" i="3" l="1"/>
  <c r="M6" i="3"/>
  <c r="M8" i="3"/>
  <c r="J5" i="6" l="1"/>
  <c r="J6" i="6"/>
  <c r="J9" i="6"/>
  <c r="J4" i="6"/>
  <c r="F5" i="6"/>
  <c r="F11" i="6"/>
  <c r="F9" i="6" l="1"/>
  <c r="J11" i="6"/>
  <c r="F6" i="6"/>
  <c r="K6" i="6"/>
  <c r="S3" i="6" l="1"/>
  <c r="L4" i="6" l="1"/>
  <c r="N5" i="6"/>
  <c r="N9" i="6"/>
  <c r="L11" i="6"/>
  <c r="F3" i="6"/>
  <c r="N6" i="6" l="1"/>
  <c r="L12" i="6"/>
  <c r="L23" i="6" s="1"/>
  <c r="F12" i="6"/>
  <c r="F23" i="6" s="1"/>
  <c r="P12" i="6"/>
  <c r="J3" i="6" l="1"/>
  <c r="N3" i="6"/>
  <c r="J12" i="6" l="1"/>
  <c r="J23" i="6" s="1"/>
  <c r="K11" i="6" l="1"/>
  <c r="N4" i="6"/>
  <c r="N11" i="6" l="1"/>
  <c r="N12" i="6" s="1"/>
  <c r="N23" i="6" s="1"/>
  <c r="K12" i="6"/>
  <c r="K23" i="6" s="1"/>
  <c r="V4" i="2" l="1"/>
  <c r="R11" i="6" l="1"/>
  <c r="N5" i="2" l="1"/>
  <c r="N6" i="2" s="1"/>
  <c r="N7" i="2" s="1"/>
  <c r="O5" i="2"/>
  <c r="O6" i="2" l="1"/>
  <c r="O7" i="2" s="1"/>
  <c r="Y5" i="2" l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X5" i="2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W5" i="2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V5" i="2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R5" i="2" l="1"/>
  <c r="AL5" i="2" l="1"/>
  <c r="M221" i="3" l="1"/>
  <c r="M222" i="3"/>
  <c r="M223" i="3"/>
  <c r="M224" i="3"/>
  <c r="M225" i="3"/>
  <c r="M226" i="3"/>
  <c r="M227" i="3"/>
  <c r="M228" i="3"/>
  <c r="M229" i="3"/>
  <c r="M230" i="3"/>
  <c r="M231" i="3"/>
  <c r="M232" i="3"/>
  <c r="R4" i="6" l="1"/>
  <c r="R8" i="6" l="1"/>
  <c r="R12" i="6" l="1"/>
  <c r="M233" i="3" l="1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 l="1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 l="1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P5" i="2" l="1"/>
  <c r="T5" i="2"/>
  <c r="T6" i="2" l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AN5" i="2"/>
  <c r="P6" i="2"/>
  <c r="O11" i="6"/>
  <c r="S11" i="6" l="1"/>
  <c r="P7" i="2"/>
  <c r="AN7" i="2" s="1"/>
  <c r="AN6" i="2"/>
  <c r="T20" i="2"/>
  <c r="S5" i="2"/>
  <c r="S6" i="2" s="1"/>
  <c r="S7" i="2" s="1"/>
  <c r="S8" i="2" s="1"/>
  <c r="S9" i="2" s="1"/>
  <c r="S10" i="2" s="1"/>
  <c r="S11" i="2" s="1"/>
  <c r="S12" i="2" s="1"/>
  <c r="AM5" i="2" l="1"/>
  <c r="P8" i="2"/>
  <c r="AN8" i="2" s="1"/>
  <c r="T21" i="2"/>
  <c r="S13" i="2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AM6" i="2"/>
  <c r="U5" i="2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R6" i="2"/>
  <c r="Q5" i="2"/>
  <c r="P9" i="2" l="1"/>
  <c r="AN9" i="2" s="1"/>
  <c r="R7" i="2"/>
  <c r="AO5" i="2"/>
  <c r="T22" i="2"/>
  <c r="AM7" i="2"/>
  <c r="AL6" i="2"/>
  <c r="Q6" i="2"/>
  <c r="AO6" i="2" s="1"/>
  <c r="P10" i="2" l="1"/>
  <c r="AN10" i="2" s="1"/>
  <c r="R8" i="2"/>
  <c r="T23" i="2"/>
  <c r="O8" i="2"/>
  <c r="AM8" i="2" s="1"/>
  <c r="AP5" i="2"/>
  <c r="AL7" i="2"/>
  <c r="Q7" i="2"/>
  <c r="AO7" i="2" s="1"/>
  <c r="P11" i="2" l="1"/>
  <c r="AN11" i="2" s="1"/>
  <c r="R9" i="2"/>
  <c r="T24" i="2"/>
  <c r="O9" i="2"/>
  <c r="AM9" i="2" s="1"/>
  <c r="AP6" i="2"/>
  <c r="Q8" i="2"/>
  <c r="AO8" i="2" s="1"/>
  <c r="N8" i="2"/>
  <c r="AL8" i="2" s="1"/>
  <c r="P12" i="2" l="1"/>
  <c r="AN12" i="2" s="1"/>
  <c r="R10" i="2"/>
  <c r="T25" i="2"/>
  <c r="O10" i="2"/>
  <c r="AM10" i="2" s="1"/>
  <c r="AP7" i="2"/>
  <c r="Q9" i="2"/>
  <c r="AO9" i="2" s="1"/>
  <c r="N9" i="2"/>
  <c r="AL9" i="2" s="1"/>
  <c r="P13" i="2" l="1"/>
  <c r="AN13" i="2" s="1"/>
  <c r="R11" i="2"/>
  <c r="T26" i="2"/>
  <c r="O11" i="2"/>
  <c r="AM11" i="2" s="1"/>
  <c r="AP8" i="2"/>
  <c r="Q10" i="2"/>
  <c r="AO10" i="2" s="1"/>
  <c r="N10" i="2"/>
  <c r="AL10" i="2" s="1"/>
  <c r="P14" i="2" l="1"/>
  <c r="AN14" i="2" s="1"/>
  <c r="R12" i="2"/>
  <c r="T27" i="2"/>
  <c r="O12" i="2"/>
  <c r="AM12" i="2" s="1"/>
  <c r="AP9" i="2"/>
  <c r="N11" i="2"/>
  <c r="AL11" i="2" s="1"/>
  <c r="Q11" i="2"/>
  <c r="AO11" i="2" s="1"/>
  <c r="P15" i="2" l="1"/>
  <c r="AN15" i="2" s="1"/>
  <c r="R13" i="2"/>
  <c r="R14" i="2" s="1"/>
  <c r="R15" i="2" s="1"/>
  <c r="R16" i="2" s="1"/>
  <c r="R17" i="2" s="1"/>
  <c r="R18" i="2" s="1"/>
  <c r="R19" i="2" s="1"/>
  <c r="T28" i="2"/>
  <c r="O13" i="2"/>
  <c r="AM13" i="2" s="1"/>
  <c r="AP10" i="2"/>
  <c r="Q12" i="2"/>
  <c r="AO12" i="2" s="1"/>
  <c r="N12" i="2"/>
  <c r="AL12" i="2" s="1"/>
  <c r="P16" i="2" l="1"/>
  <c r="AN16" i="2" s="1"/>
  <c r="T29" i="2"/>
  <c r="R20" i="2"/>
  <c r="O14" i="2"/>
  <c r="AM14" i="2" s="1"/>
  <c r="AP11" i="2"/>
  <c r="N13" i="2"/>
  <c r="AL13" i="2" s="1"/>
  <c r="Q13" i="2"/>
  <c r="AO13" i="2" s="1"/>
  <c r="P17" i="2" l="1"/>
  <c r="AN17" i="2" s="1"/>
  <c r="T30" i="2"/>
  <c r="R21" i="2"/>
  <c r="O15" i="2"/>
  <c r="AM15" i="2" s="1"/>
  <c r="AP12" i="2"/>
  <c r="Q14" i="2"/>
  <c r="AO14" i="2" s="1"/>
  <c r="N14" i="2"/>
  <c r="AL14" i="2" s="1"/>
  <c r="P18" i="2" l="1"/>
  <c r="AN18" i="2" s="1"/>
  <c r="T31" i="2"/>
  <c r="R22" i="2"/>
  <c r="O16" i="2"/>
  <c r="AM16" i="2" s="1"/>
  <c r="AP13" i="2"/>
  <c r="N15" i="2"/>
  <c r="AL15" i="2" s="1"/>
  <c r="Q15" i="2"/>
  <c r="AO15" i="2" s="1"/>
  <c r="P19" i="2" l="1"/>
  <c r="AN19" i="2" s="1"/>
  <c r="T32" i="2"/>
  <c r="R23" i="2"/>
  <c r="O17" i="2"/>
  <c r="AM17" i="2" s="1"/>
  <c r="AP14" i="2"/>
  <c r="Q16" i="2"/>
  <c r="AO16" i="2" s="1"/>
  <c r="N16" i="2"/>
  <c r="AL16" i="2" s="1"/>
  <c r="P20" i="2" l="1"/>
  <c r="AN20" i="2" s="1"/>
  <c r="T33" i="2"/>
  <c r="R24" i="2"/>
  <c r="O18" i="2"/>
  <c r="AM18" i="2" s="1"/>
  <c r="AP15" i="2"/>
  <c r="N17" i="2"/>
  <c r="AL17" i="2" s="1"/>
  <c r="Q17" i="2"/>
  <c r="AO17" i="2" s="1"/>
  <c r="P21" i="2" l="1"/>
  <c r="AN21" i="2" s="1"/>
  <c r="T34" i="2"/>
  <c r="R25" i="2"/>
  <c r="O19" i="2"/>
  <c r="AM19" i="2" s="1"/>
  <c r="AP16" i="2"/>
  <c r="N18" i="2"/>
  <c r="AL18" i="2" s="1"/>
  <c r="Q18" i="2"/>
  <c r="AO18" i="2" s="1"/>
  <c r="P22" i="2" l="1"/>
  <c r="AN22" i="2" s="1"/>
  <c r="T35" i="2"/>
  <c r="R26" i="2"/>
  <c r="O20" i="2"/>
  <c r="AM20" i="2" s="1"/>
  <c r="AP17" i="2"/>
  <c r="Q19" i="2"/>
  <c r="AO19" i="2" s="1"/>
  <c r="N19" i="2"/>
  <c r="AL19" i="2" s="1"/>
  <c r="P23" i="2" l="1"/>
  <c r="AN23" i="2" s="1"/>
  <c r="T36" i="2"/>
  <c r="R27" i="2"/>
  <c r="O21" i="2"/>
  <c r="AM21" i="2" s="1"/>
  <c r="AP18" i="2"/>
  <c r="Q20" i="2"/>
  <c r="AO20" i="2" s="1"/>
  <c r="N20" i="2"/>
  <c r="AL20" i="2" s="1"/>
  <c r="P24" i="2" l="1"/>
  <c r="AN24" i="2" s="1"/>
  <c r="T37" i="2"/>
  <c r="R28" i="2"/>
  <c r="O22" i="2"/>
  <c r="AM22" i="2" s="1"/>
  <c r="AP19" i="2"/>
  <c r="N21" i="2"/>
  <c r="AL21" i="2" s="1"/>
  <c r="Q21" i="2"/>
  <c r="AO21" i="2" s="1"/>
  <c r="P25" i="2" l="1"/>
  <c r="AN25" i="2" s="1"/>
  <c r="R29" i="2"/>
  <c r="O23" i="2"/>
  <c r="AM23" i="2" s="1"/>
  <c r="AP20" i="2"/>
  <c r="N22" i="2"/>
  <c r="AL22" i="2" s="1"/>
  <c r="Q22" i="2"/>
  <c r="AO22" i="2" s="1"/>
  <c r="P26" i="2" l="1"/>
  <c r="AN26" i="2" s="1"/>
  <c r="R30" i="2"/>
  <c r="O24" i="2"/>
  <c r="AM24" i="2" s="1"/>
  <c r="AP21" i="2"/>
  <c r="N23" i="2"/>
  <c r="AL23" i="2" s="1"/>
  <c r="Q23" i="2"/>
  <c r="AO23" i="2" s="1"/>
  <c r="P27" i="2" l="1"/>
  <c r="AN27" i="2" s="1"/>
  <c r="R31" i="2"/>
  <c r="O25" i="2"/>
  <c r="AM25" i="2" s="1"/>
  <c r="AP22" i="2"/>
  <c r="Q24" i="2"/>
  <c r="AO24" i="2" s="1"/>
  <c r="N24" i="2"/>
  <c r="AL24" i="2" s="1"/>
  <c r="P28" i="2" l="1"/>
  <c r="AN28" i="2" s="1"/>
  <c r="R32" i="2"/>
  <c r="O26" i="2"/>
  <c r="AM26" i="2" s="1"/>
  <c r="AP23" i="2"/>
  <c r="Q25" i="2"/>
  <c r="AO25" i="2" s="1"/>
  <c r="N25" i="2"/>
  <c r="AL25" i="2" s="1"/>
  <c r="P29" i="2" l="1"/>
  <c r="AN29" i="2" s="1"/>
  <c r="R33" i="2"/>
  <c r="O27" i="2"/>
  <c r="AM27" i="2" s="1"/>
  <c r="AP24" i="2"/>
  <c r="N26" i="2"/>
  <c r="AL26" i="2" s="1"/>
  <c r="Q26" i="2"/>
  <c r="AO26" i="2" s="1"/>
  <c r="P30" i="2" l="1"/>
  <c r="AN30" i="2" s="1"/>
  <c r="R34" i="2"/>
  <c r="O28" i="2"/>
  <c r="AM28" i="2" s="1"/>
  <c r="AP25" i="2"/>
  <c r="N27" i="2"/>
  <c r="AL27" i="2" s="1"/>
  <c r="Q27" i="2"/>
  <c r="AO27" i="2" s="1"/>
  <c r="P31" i="2" l="1"/>
  <c r="AN31" i="2" s="1"/>
  <c r="R35" i="2"/>
  <c r="O29" i="2"/>
  <c r="AM29" i="2" s="1"/>
  <c r="AP26" i="2"/>
  <c r="N28" i="2"/>
  <c r="AL28" i="2" s="1"/>
  <c r="Q28" i="2"/>
  <c r="AO28" i="2" s="1"/>
  <c r="P32" i="2" l="1"/>
  <c r="AN32" i="2" s="1"/>
  <c r="R36" i="2"/>
  <c r="O30" i="2"/>
  <c r="AM30" i="2" s="1"/>
  <c r="AP27" i="2"/>
  <c r="Q29" i="2"/>
  <c r="AO29" i="2" s="1"/>
  <c r="N29" i="2"/>
  <c r="AL29" i="2" s="1"/>
  <c r="P33" i="2" l="1"/>
  <c r="AN33" i="2" s="1"/>
  <c r="R37" i="2"/>
  <c r="O31" i="2"/>
  <c r="AM31" i="2" s="1"/>
  <c r="AP28" i="2"/>
  <c r="Q30" i="2"/>
  <c r="AO30" i="2" s="1"/>
  <c r="N30" i="2"/>
  <c r="AL30" i="2" s="1"/>
  <c r="P34" i="2" l="1"/>
  <c r="AN34" i="2" s="1"/>
  <c r="O32" i="2"/>
  <c r="AM32" i="2" s="1"/>
  <c r="AP29" i="2"/>
  <c r="N31" i="2"/>
  <c r="AL31" i="2" s="1"/>
  <c r="Q31" i="2"/>
  <c r="AO31" i="2" s="1"/>
  <c r="P35" i="2" l="1"/>
  <c r="AN35" i="2" s="1"/>
  <c r="O33" i="2"/>
  <c r="AM33" i="2" s="1"/>
  <c r="AP30" i="2"/>
  <c r="Q32" i="2"/>
  <c r="AO32" i="2" s="1"/>
  <c r="N32" i="2"/>
  <c r="AL32" i="2" s="1"/>
  <c r="P36" i="2" l="1"/>
  <c r="AN36" i="2" s="1"/>
  <c r="O34" i="2"/>
  <c r="AM34" i="2" s="1"/>
  <c r="AP31" i="2"/>
  <c r="Q33" i="2"/>
  <c r="AO33" i="2" s="1"/>
  <c r="N33" i="2"/>
  <c r="AL33" i="2" s="1"/>
  <c r="P37" i="2" l="1"/>
  <c r="O35" i="2"/>
  <c r="AM35" i="2" s="1"/>
  <c r="AP32" i="2"/>
  <c r="N34" i="2"/>
  <c r="AL34" i="2" s="1"/>
  <c r="Q34" i="2"/>
  <c r="AO34" i="2" s="1"/>
  <c r="AN37" i="2" l="1"/>
  <c r="O36" i="2"/>
  <c r="AM36" i="2" s="1"/>
  <c r="AP33" i="2"/>
  <c r="N35" i="2"/>
  <c r="AL35" i="2" s="1"/>
  <c r="Q35" i="2"/>
  <c r="AO35" i="2" s="1"/>
  <c r="O37" i="2" l="1"/>
  <c r="Q36" i="2"/>
  <c r="AO36" i="2" s="1"/>
  <c r="N36" i="2"/>
  <c r="AL36" i="2" s="1"/>
  <c r="AP34" i="2"/>
  <c r="AM37" i="2" l="1"/>
  <c r="N37" i="2"/>
  <c r="Q37" i="2"/>
  <c r="AP35" i="2"/>
  <c r="AL37" i="2" l="1"/>
  <c r="AO37" i="2"/>
  <c r="AP36" i="2"/>
  <c r="AP37" i="2" l="1"/>
  <c r="S8" i="6" l="1"/>
  <c r="Q12" i="6"/>
  <c r="O12" i="6" l="1"/>
  <c r="S12" i="6" s="1"/>
  <c r="S4" i="6"/>
</calcChain>
</file>

<file path=xl/sharedStrings.xml><?xml version="1.0" encoding="utf-8"?>
<sst xmlns="http://schemas.openxmlformats.org/spreadsheetml/2006/main" count="874" uniqueCount="138">
  <si>
    <t>SR.NO</t>
  </si>
  <si>
    <t>DELEAR NAME</t>
  </si>
  <si>
    <t>GODOWN SALE</t>
  </si>
  <si>
    <t>SAP SALE</t>
  </si>
  <si>
    <t>CLOSING STOCK</t>
  </si>
  <si>
    <t>PLUS</t>
  </si>
  <si>
    <t>TOTAL</t>
  </si>
  <si>
    <t>DURGA TRADERS</t>
  </si>
  <si>
    <t>GODOWN STOCK</t>
  </si>
  <si>
    <t>SAP STOCK</t>
  </si>
  <si>
    <t>RETURN</t>
  </si>
  <si>
    <t>INWORD</t>
  </si>
  <si>
    <t>OUTWARD</t>
  </si>
  <si>
    <t>TOTAL STOCK</t>
  </si>
  <si>
    <t xml:space="preserve"> M.T.</t>
  </si>
  <si>
    <t>DATE</t>
  </si>
  <si>
    <t>A</t>
  </si>
  <si>
    <t>P</t>
  </si>
  <si>
    <t>BOTH</t>
  </si>
  <si>
    <t>STOCK</t>
  </si>
  <si>
    <t>DELAR NAME</t>
  </si>
  <si>
    <t xml:space="preserve">SHIP TO </t>
  </si>
  <si>
    <t>ADDRESS</t>
  </si>
  <si>
    <t>TRUCK NO.</t>
  </si>
  <si>
    <t>FRIGHT</t>
  </si>
  <si>
    <t>PARICULARS</t>
  </si>
  <si>
    <t>AMOUNT</t>
  </si>
  <si>
    <t>RECIVED</t>
  </si>
  <si>
    <t>BALANCE</t>
  </si>
  <si>
    <t>SALE</t>
  </si>
  <si>
    <t>AL AMEEN INTER.</t>
  </si>
  <si>
    <t>LODING</t>
  </si>
  <si>
    <t>PETROL</t>
  </si>
  <si>
    <t xml:space="preserve">BAJRANG B/M </t>
  </si>
  <si>
    <t xml:space="preserve">SHREE LUXMI </t>
  </si>
  <si>
    <t>DIFFRENCE</t>
  </si>
  <si>
    <t>PPCY</t>
  </si>
  <si>
    <t>C&amp;T</t>
  </si>
  <si>
    <t>EXPANCES</t>
  </si>
  <si>
    <t>C</t>
  </si>
  <si>
    <t>SADA</t>
  </si>
  <si>
    <t>G-1</t>
  </si>
  <si>
    <t>G-2</t>
  </si>
  <si>
    <t>KWACH</t>
  </si>
  <si>
    <t>K</t>
  </si>
  <si>
    <t>G-3</t>
  </si>
  <si>
    <t>MAA DURGA</t>
  </si>
  <si>
    <t>MOTERCYCLE SERVICE</t>
  </si>
  <si>
    <t>OK</t>
  </si>
  <si>
    <t>CASH OFFICE</t>
  </si>
  <si>
    <t>KAW</t>
  </si>
  <si>
    <t>UNLODING</t>
  </si>
  <si>
    <t>MOBILE RECHARGE</t>
  </si>
  <si>
    <t>J.P. SONS</t>
  </si>
  <si>
    <t>JAI SHRI KRISHNA</t>
  </si>
  <si>
    <t>LODING 600*2.5</t>
  </si>
  <si>
    <t>TIPAL +LINK</t>
  </si>
  <si>
    <t>LODING 640</t>
  </si>
  <si>
    <t>CASH SALE SAURABH 50 BAG</t>
  </si>
  <si>
    <t>LODING 50 BAGS</t>
  </si>
  <si>
    <t>LODING 100 BAG</t>
  </si>
  <si>
    <t>LODING 150 BAG</t>
  </si>
  <si>
    <t>LODING 140 BAG</t>
  </si>
  <si>
    <t>LODING 228 BAG</t>
  </si>
  <si>
    <t>SHANTI B/M</t>
  </si>
  <si>
    <t>UNLODING 480 BAG</t>
  </si>
  <si>
    <t>LODING 80 BAG</t>
  </si>
  <si>
    <t>LODING 120 BAG</t>
  </si>
  <si>
    <t>LODING 180 BAG</t>
  </si>
  <si>
    <t>UNLODING 680 KAWACH</t>
  </si>
  <si>
    <t>UNLODING 340 KAWACH</t>
  </si>
  <si>
    <t>LODING 110 KAWACH</t>
  </si>
  <si>
    <t>UNLODING 840 PLUS</t>
  </si>
  <si>
    <t>LODING 70 BAG</t>
  </si>
  <si>
    <t>LODING 200 BAG</t>
  </si>
  <si>
    <t>LODING 130 BAG</t>
  </si>
  <si>
    <t>LODING 160 BAG</t>
  </si>
  <si>
    <t>PENTER</t>
  </si>
  <si>
    <t>LODING 190</t>
  </si>
  <si>
    <t>VATSAL ENTERPRISES</t>
  </si>
  <si>
    <t>LODING 125 PLUS</t>
  </si>
  <si>
    <t>LODING 350 BAG</t>
  </si>
  <si>
    <t>LODING 275 KAWACH</t>
  </si>
  <si>
    <t>LODING 50 KAWACH</t>
  </si>
  <si>
    <t>LODING 150 KAWACH</t>
  </si>
  <si>
    <t>LODING 70 KAWACH</t>
  </si>
  <si>
    <t>LODING 325 BAGS</t>
  </si>
  <si>
    <t>LODING 400 BAG</t>
  </si>
  <si>
    <t>UNLODING 300 BAG</t>
  </si>
  <si>
    <t>GRANT TOTAL</t>
  </si>
  <si>
    <t>UNLODING 500 BAG</t>
  </si>
  <si>
    <t>AJEET CT. AG.</t>
  </si>
  <si>
    <t>UNLODING 840 BAG</t>
  </si>
  <si>
    <t>CASH SALE 6 BAG</t>
  </si>
  <si>
    <t xml:space="preserve">UNLODING 150 </t>
  </si>
  <si>
    <t xml:space="preserve">UNLODING 250 </t>
  </si>
  <si>
    <t>MOTERCYCLE BAITRY</t>
  </si>
  <si>
    <t>R.D ENTERPRISES</t>
  </si>
  <si>
    <t>CASH SALE KAWACH 1 BAG</t>
  </si>
  <si>
    <t>LODING 620</t>
  </si>
  <si>
    <t>LODING 335</t>
  </si>
  <si>
    <t>FRIGHT PRADEEP BHAKURAMORE</t>
  </si>
  <si>
    <t>LODING 500 BAG</t>
  </si>
  <si>
    <t>Fire rifil</t>
  </si>
  <si>
    <t>UNLODING 620 BAG</t>
  </si>
  <si>
    <t>LODING 250 BAG</t>
  </si>
  <si>
    <t xml:space="preserve">GODOWN EXP. </t>
  </si>
  <si>
    <t>LODING 97 BAG</t>
  </si>
  <si>
    <t>UNLODIND</t>
  </si>
  <si>
    <t>CASH SALE 1 BAG PLUS</t>
  </si>
  <si>
    <t>ULODING</t>
  </si>
  <si>
    <t xml:space="preserve">ARASHAD CT. AGENCY FRIGHT </t>
  </si>
  <si>
    <t>CASH SALE 1 BAG</t>
  </si>
  <si>
    <t>KUMAR B/M CHIRAIYAMORE</t>
  </si>
  <si>
    <t>FESTIVAL EXP.</t>
  </si>
  <si>
    <t>MAURYA &amp; COM.</t>
  </si>
  <si>
    <t>CASH SALE 2 BAG KAWACH</t>
  </si>
  <si>
    <t>CASH SALE ANIL THEKEDAR</t>
  </si>
  <si>
    <t>KAFIL KHAN</t>
  </si>
  <si>
    <t>SHIV TRADING COM</t>
  </si>
  <si>
    <t>CASH OFFICE NGGX</t>
  </si>
  <si>
    <t>VINDHWASANI</t>
  </si>
  <si>
    <t>SINGH B/M MARHAT</t>
  </si>
  <si>
    <t>FAIZAN ALI</t>
  </si>
  <si>
    <t>NEW RAJ B/M</t>
  </si>
  <si>
    <t>SAI ENTERPRISES</t>
  </si>
  <si>
    <t>SIDDIQPUR</t>
  </si>
  <si>
    <t>A/F</t>
  </si>
  <si>
    <t>SELF</t>
  </si>
  <si>
    <t xml:space="preserve">J.P. AND SONS </t>
  </si>
  <si>
    <t>ANSH</t>
  </si>
  <si>
    <t>GAURABADSHAHPUR</t>
  </si>
  <si>
    <t>UP32SN5665</t>
  </si>
  <si>
    <t>PRADHAN B/M</t>
  </si>
  <si>
    <t>BR02GD5158</t>
  </si>
  <si>
    <t>KESHAVPUR</t>
  </si>
  <si>
    <t>UP32SN9486</t>
  </si>
  <si>
    <t>JAI SHRI KRISHNA AND 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</si>
</sst>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Font="1" applyBorder="1"/>
    <xf numFmtId="0" fontId="1" fillId="0" borderId="1" xfId="0" applyFont="1" applyBorder="1" applyAlignment="1">
      <alignment horizontal="left"/>
    </xf>
    <xf numFmtId="2" fontId="0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Font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14" fontId="0" fillId="5" borderId="1" xfId="0" applyNumberFormat="1" applyFont="1" applyFill="1" applyBorder="1" applyAlignment="1">
      <alignment horizontal="left" vertical="top"/>
    </xf>
    <xf numFmtId="2" fontId="0" fillId="5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2" fontId="0" fillId="5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/>
    <xf numFmtId="14" fontId="0" fillId="4" borderId="1" xfId="0" applyNumberForma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2" fontId="0" fillId="0" borderId="0" xfId="0" applyNumberFormat="1" applyFont="1"/>
    <xf numFmtId="2" fontId="1" fillId="5" borderId="1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4" fillId="5" borderId="1" xfId="0" applyNumberFormat="1" applyFont="1" applyFill="1" applyBorder="1"/>
    <xf numFmtId="0" fontId="1" fillId="0" borderId="14" xfId="0" applyFont="1" applyBorder="1" applyAlignment="1">
      <alignment horizontal="left"/>
    </xf>
    <xf numFmtId="0" fontId="1" fillId="22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2" fontId="5" fillId="0" borderId="1" xfId="0" applyNumberFormat="1" applyFont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17" fontId="6" fillId="0" borderId="1" xfId="0" applyNumberFormat="1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/>
    <xf numFmtId="1" fontId="2" fillId="9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2" fillId="10" borderId="12" xfId="0" applyNumberFormat="1" applyFont="1" applyFill="1" applyBorder="1" applyAlignment="1">
      <alignment horizontal="center" wrapText="1"/>
    </xf>
    <xf numFmtId="0" fontId="0" fillId="0" borderId="14" xfId="0" applyFill="1" applyBorder="1" applyAlignment="1">
      <alignment horizontal="left"/>
    </xf>
    <xf numFmtId="2" fontId="0" fillId="0" borderId="0" xfId="0" applyNumberFormat="1"/>
    <xf numFmtId="0" fontId="1" fillId="23" borderId="1" xfId="0" applyFont="1" applyFill="1" applyBorder="1" applyAlignment="1">
      <alignment horizontal="center"/>
    </xf>
    <xf numFmtId="2" fontId="0" fillId="5" borderId="1" xfId="0" applyNumberFormat="1" applyFont="1" applyFill="1" applyBorder="1" applyAlignment="1">
      <alignment horizontal="center"/>
    </xf>
    <xf numFmtId="14" fontId="0" fillId="0" borderId="0" xfId="0" applyNumberFormat="1"/>
    <xf numFmtId="2" fontId="1" fillId="5" borderId="1" xfId="0" applyNumberFormat="1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7" fillId="5" borderId="0" xfId="0" applyFont="1" applyFill="1"/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2" fillId="5" borderId="0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6" xfId="0" applyNumberFormat="1" applyFont="1" applyBorder="1" applyAlignment="1">
      <alignment horizontal="center"/>
    </xf>
    <xf numFmtId="2" fontId="1" fillId="5" borderId="6" xfId="0" applyNumberFormat="1" applyFont="1" applyFill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fill"/>
    </xf>
    <xf numFmtId="0" fontId="1" fillId="0" borderId="0" xfId="0" applyFont="1"/>
    <xf numFmtId="0" fontId="1" fillId="0" borderId="0" xfId="0" applyFont="1" applyAlignment="1"/>
    <xf numFmtId="0" fontId="7" fillId="5" borderId="1" xfId="0" applyFont="1" applyFill="1" applyBorder="1" applyAlignment="1">
      <alignment horizontal="center"/>
    </xf>
    <xf numFmtId="16" fontId="0" fillId="0" borderId="0" xfId="0" applyNumberFormat="1"/>
    <xf numFmtId="0" fontId="0" fillId="5" borderId="0" xfId="0" applyFont="1" applyFill="1"/>
    <xf numFmtId="0" fontId="0" fillId="0" borderId="1" xfId="0" applyFill="1" applyBorder="1" applyAlignment="1">
      <alignment horizontal="left"/>
    </xf>
    <xf numFmtId="0" fontId="0" fillId="0" borderId="0" xfId="0" applyAlignment="1"/>
    <xf numFmtId="1" fontId="2" fillId="10" borderId="3" xfId="0" applyNumberFormat="1" applyFont="1" applyFill="1" applyBorder="1" applyAlignment="1">
      <alignment horizontal="center" wrapText="1"/>
    </xf>
    <xf numFmtId="0" fontId="2" fillId="11" borderId="7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 wrapText="1"/>
    </xf>
    <xf numFmtId="1" fontId="2" fillId="3" borderId="3" xfId="0" applyNumberFormat="1" applyFont="1" applyFill="1" applyBorder="1" applyAlignment="1">
      <alignment horizontal="center" wrapText="1"/>
    </xf>
    <xf numFmtId="1" fontId="2" fillId="3" borderId="4" xfId="0" applyNumberFormat="1" applyFont="1" applyFill="1" applyBorder="1" applyAlignment="1">
      <alignment horizontal="center" wrapText="1"/>
    </xf>
    <xf numFmtId="164" fontId="2" fillId="12" borderId="5" xfId="0" applyNumberFormat="1" applyFont="1" applyFill="1" applyBorder="1" applyAlignment="1">
      <alignment horizontal="center" vertical="center"/>
    </xf>
    <xf numFmtId="164" fontId="2" fillId="12" borderId="6" xfId="0" applyNumberFormat="1" applyFont="1" applyFill="1" applyBorder="1" applyAlignment="1">
      <alignment horizontal="center" vertical="center"/>
    </xf>
    <xf numFmtId="1" fontId="2" fillId="9" borderId="2" xfId="0" applyNumberFormat="1" applyFont="1" applyFill="1" applyBorder="1" applyAlignment="1">
      <alignment horizontal="center"/>
    </xf>
    <xf numFmtId="1" fontId="2" fillId="9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/>
    </xf>
    <xf numFmtId="0" fontId="2" fillId="24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1" borderId="8" xfId="0" applyFont="1" applyFill="1" applyBorder="1" applyAlignment="1">
      <alignment horizontal="center" vertical="center" wrapText="1"/>
    </xf>
    <xf numFmtId="0" fontId="1" fillId="21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37"/>
  <sheetViews>
    <sheetView topLeftCell="A6" zoomScaleNormal="100" workbookViewId="0">
      <selection activeCell="N14" sqref="N14"/>
    </sheetView>
  </sheetViews>
  <sheetFormatPr defaultRowHeight="15" x14ac:dyDescent="0.25"/>
  <cols>
    <col min="1" max="1" width="10" customWidth="1"/>
    <col min="2" max="2" width="2.42578125" bestFit="1" customWidth="1"/>
    <col min="3" max="3" width="3.28515625" bestFit="1" customWidth="1"/>
    <col min="4" max="4" width="2.28515625" bestFit="1" customWidth="1"/>
    <col min="5" max="5" width="2.5703125" hidden="1" customWidth="1"/>
    <col min="6" max="6" width="3.28515625" hidden="1" customWidth="1"/>
    <col min="7" max="8" width="4.42578125" hidden="1" customWidth="1"/>
    <col min="9" max="9" width="3.28515625" hidden="1" customWidth="1"/>
    <col min="10" max="10" width="2.42578125" hidden="1" customWidth="1"/>
    <col min="11" max="11" width="3.28515625" hidden="1" customWidth="1"/>
    <col min="12" max="12" width="2.28515625" hidden="1" customWidth="1"/>
    <col min="13" max="13" width="2.140625" hidden="1" customWidth="1"/>
    <col min="14" max="14" width="5.7109375" bestFit="1" customWidth="1"/>
    <col min="15" max="15" width="6.7109375" bestFit="1" customWidth="1"/>
    <col min="16" max="16" width="7.85546875" bestFit="1" customWidth="1"/>
    <col min="17" max="17" width="5.140625" hidden="1" customWidth="1"/>
    <col min="18" max="18" width="5.7109375" hidden="1" customWidth="1"/>
    <col min="19" max="19" width="6.7109375" hidden="1" customWidth="1"/>
    <col min="20" max="20" width="5.7109375" hidden="1" customWidth="1"/>
    <col min="21" max="21" width="5.5703125" hidden="1" customWidth="1"/>
    <col min="22" max="22" width="4.140625" hidden="1" customWidth="1"/>
    <col min="23" max="23" width="6.7109375" hidden="1" customWidth="1"/>
    <col min="24" max="24" width="7.85546875" hidden="1" customWidth="1"/>
    <col min="25" max="25" width="5.5703125" hidden="1" customWidth="1"/>
    <col min="26" max="26" width="5.7109375" bestFit="1" customWidth="1"/>
    <col min="27" max="27" width="6" bestFit="1" customWidth="1"/>
    <col min="28" max="28" width="6.28515625" customWidth="1"/>
    <col min="29" max="30" width="4.140625" hidden="1" customWidth="1"/>
    <col min="31" max="31" width="5.5703125" hidden="1" customWidth="1"/>
    <col min="32" max="32" width="5" hidden="1" customWidth="1"/>
    <col min="33" max="33" width="4.140625" hidden="1" customWidth="1"/>
    <col min="34" max="34" width="3.7109375" hidden="1" customWidth="1"/>
    <col min="35" max="35" width="5.5703125" hidden="1" customWidth="1"/>
    <col min="36" max="36" width="5.42578125" hidden="1" customWidth="1"/>
    <col min="37" max="37" width="4.140625" hidden="1" customWidth="1"/>
    <col min="38" max="38" width="5.7109375" hidden="1" customWidth="1"/>
    <col min="39" max="39" width="6" bestFit="1" customWidth="1"/>
    <col min="40" max="40" width="5.42578125" customWidth="1"/>
    <col min="41" max="41" width="5" hidden="1" customWidth="1"/>
    <col min="42" max="42" width="7.5703125" bestFit="1" customWidth="1"/>
    <col min="43" max="43" width="14" bestFit="1" customWidth="1"/>
  </cols>
  <sheetData>
    <row r="1" spans="1:42" ht="15.75" customHeight="1" x14ac:dyDescent="0.25">
      <c r="A1" s="8"/>
      <c r="B1" s="104" t="s">
        <v>10</v>
      </c>
      <c r="C1" s="105"/>
      <c r="D1" s="105"/>
      <c r="E1" s="105"/>
      <c r="F1" s="105"/>
      <c r="G1" s="105"/>
      <c r="H1" s="105"/>
      <c r="I1" s="105"/>
      <c r="J1" s="60"/>
      <c r="K1" s="60"/>
      <c r="L1" s="60"/>
      <c r="M1" s="60"/>
      <c r="N1" s="106" t="s">
        <v>11</v>
      </c>
      <c r="O1" s="106"/>
      <c r="P1" s="106"/>
      <c r="Q1" s="106"/>
      <c r="R1" s="106"/>
      <c r="S1" s="106"/>
      <c r="T1" s="106"/>
      <c r="U1" s="106"/>
      <c r="V1" s="61"/>
      <c r="W1" s="61"/>
      <c r="X1" s="61"/>
      <c r="Y1" s="61"/>
      <c r="Z1" s="89" t="s">
        <v>12</v>
      </c>
      <c r="AA1" s="89"/>
      <c r="AB1" s="89"/>
      <c r="AC1" s="89"/>
      <c r="AD1" s="89"/>
      <c r="AE1" s="89"/>
      <c r="AF1" s="89"/>
      <c r="AG1" s="89"/>
      <c r="AH1" s="62"/>
      <c r="AI1" s="62"/>
      <c r="AJ1" s="62"/>
      <c r="AK1" s="62"/>
      <c r="AL1" s="90" t="s">
        <v>13</v>
      </c>
      <c r="AM1" s="91"/>
      <c r="AN1" s="91"/>
      <c r="AO1" s="92"/>
      <c r="AP1" s="96" t="s">
        <v>14</v>
      </c>
    </row>
    <row r="2" spans="1:42" ht="15.75" customHeight="1" x14ac:dyDescent="0.25">
      <c r="A2" s="102" t="s">
        <v>19</v>
      </c>
      <c r="B2" s="98" t="s">
        <v>41</v>
      </c>
      <c r="C2" s="98"/>
      <c r="D2" s="98"/>
      <c r="E2" s="98"/>
      <c r="F2" s="97" t="s">
        <v>42</v>
      </c>
      <c r="G2" s="97"/>
      <c r="H2" s="97"/>
      <c r="I2" s="97"/>
      <c r="J2" s="99" t="s">
        <v>45</v>
      </c>
      <c r="K2" s="100"/>
      <c r="L2" s="100"/>
      <c r="M2" s="101"/>
      <c r="N2" s="98" t="s">
        <v>41</v>
      </c>
      <c r="O2" s="98"/>
      <c r="P2" s="98"/>
      <c r="Q2" s="98"/>
      <c r="R2" s="97" t="s">
        <v>42</v>
      </c>
      <c r="S2" s="97"/>
      <c r="T2" s="97"/>
      <c r="U2" s="97"/>
      <c r="V2" s="99" t="s">
        <v>45</v>
      </c>
      <c r="W2" s="100"/>
      <c r="X2" s="100"/>
      <c r="Y2" s="101"/>
      <c r="Z2" s="98" t="s">
        <v>41</v>
      </c>
      <c r="AA2" s="98"/>
      <c r="AB2" s="98"/>
      <c r="AC2" s="98"/>
      <c r="AD2" s="99" t="s">
        <v>42</v>
      </c>
      <c r="AE2" s="100"/>
      <c r="AF2" s="100"/>
      <c r="AG2" s="101"/>
      <c r="AH2" s="97" t="s">
        <v>45</v>
      </c>
      <c r="AI2" s="97"/>
      <c r="AJ2" s="97"/>
      <c r="AK2" s="97"/>
      <c r="AL2" s="93"/>
      <c r="AM2" s="94"/>
      <c r="AN2" s="94"/>
      <c r="AO2" s="95"/>
      <c r="AP2" s="96"/>
    </row>
    <row r="3" spans="1:42" ht="15.75" x14ac:dyDescent="0.25">
      <c r="A3" s="103"/>
      <c r="B3" s="9" t="s">
        <v>16</v>
      </c>
      <c r="C3" s="34" t="s">
        <v>17</v>
      </c>
      <c r="D3" s="46" t="s">
        <v>44</v>
      </c>
      <c r="E3" s="10" t="s">
        <v>39</v>
      </c>
      <c r="F3" s="9" t="s">
        <v>16</v>
      </c>
      <c r="G3" s="34" t="s">
        <v>17</v>
      </c>
      <c r="H3" s="46" t="s">
        <v>44</v>
      </c>
      <c r="I3" s="10" t="s">
        <v>39</v>
      </c>
      <c r="J3" s="9" t="s">
        <v>16</v>
      </c>
      <c r="K3" s="34" t="s">
        <v>17</v>
      </c>
      <c r="L3" s="46" t="s">
        <v>44</v>
      </c>
      <c r="M3" s="10" t="s">
        <v>39</v>
      </c>
      <c r="N3" s="49" t="s">
        <v>36</v>
      </c>
      <c r="O3" s="47" t="s">
        <v>5</v>
      </c>
      <c r="P3" s="59" t="s">
        <v>43</v>
      </c>
      <c r="Q3" s="50" t="s">
        <v>37</v>
      </c>
      <c r="R3" s="49" t="s">
        <v>36</v>
      </c>
      <c r="S3" s="47" t="s">
        <v>5</v>
      </c>
      <c r="T3" s="58" t="s">
        <v>43</v>
      </c>
      <c r="U3" s="50" t="s">
        <v>37</v>
      </c>
      <c r="V3" s="49" t="s">
        <v>36</v>
      </c>
      <c r="W3" s="47" t="s">
        <v>5</v>
      </c>
      <c r="X3" s="58" t="s">
        <v>43</v>
      </c>
      <c r="Y3" s="50" t="s">
        <v>37</v>
      </c>
      <c r="Z3" s="49" t="s">
        <v>36</v>
      </c>
      <c r="AA3" s="47" t="s">
        <v>5</v>
      </c>
      <c r="AB3" s="81" t="s">
        <v>43</v>
      </c>
      <c r="AC3" s="50" t="s">
        <v>37</v>
      </c>
      <c r="AD3" s="49" t="s">
        <v>36</v>
      </c>
      <c r="AE3" s="47" t="s">
        <v>5</v>
      </c>
      <c r="AF3" s="58" t="s">
        <v>43</v>
      </c>
      <c r="AG3" s="50" t="s">
        <v>37</v>
      </c>
      <c r="AH3" s="49" t="s">
        <v>36</v>
      </c>
      <c r="AI3" s="47" t="s">
        <v>5</v>
      </c>
      <c r="AJ3" s="58" t="s">
        <v>43</v>
      </c>
      <c r="AK3" s="50" t="s">
        <v>37</v>
      </c>
      <c r="AL3" s="49" t="s">
        <v>36</v>
      </c>
      <c r="AM3" s="47" t="s">
        <v>5</v>
      </c>
      <c r="AN3" s="81" t="s">
        <v>43</v>
      </c>
      <c r="AO3" s="50" t="s">
        <v>37</v>
      </c>
      <c r="AP3" s="11" t="s">
        <v>18</v>
      </c>
    </row>
    <row r="4" spans="1:42" ht="15.75" x14ac:dyDescent="0.25">
      <c r="A4" s="12" t="s">
        <v>15</v>
      </c>
      <c r="B4" s="13"/>
      <c r="C4" s="13"/>
      <c r="D4" s="38"/>
      <c r="E4" s="13"/>
      <c r="F4" s="13"/>
      <c r="G4" s="13"/>
      <c r="H4" s="38"/>
      <c r="I4" s="13"/>
      <c r="J4" s="51"/>
      <c r="K4" s="51"/>
      <c r="L4" s="51"/>
      <c r="M4" s="51"/>
      <c r="N4" s="14">
        <f>700+900+200</f>
        <v>1800</v>
      </c>
      <c r="O4" s="14">
        <f>0</f>
        <v>0</v>
      </c>
      <c r="P4" s="14">
        <f>0</f>
        <v>0</v>
      </c>
      <c r="Q4" s="14">
        <f>0</f>
        <v>0</v>
      </c>
      <c r="R4" s="14">
        <f>0</f>
        <v>0</v>
      </c>
      <c r="S4" s="14">
        <f>0</f>
        <v>0</v>
      </c>
      <c r="T4" s="14">
        <f>0</f>
        <v>0</v>
      </c>
      <c r="U4" s="14">
        <v>0</v>
      </c>
      <c r="V4" s="14">
        <f>0</f>
        <v>0</v>
      </c>
      <c r="W4" s="14">
        <f>0</f>
        <v>0</v>
      </c>
      <c r="X4" s="14">
        <f>0</f>
        <v>0</v>
      </c>
      <c r="Y4" s="14">
        <f>0</f>
        <v>0</v>
      </c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4"/>
      <c r="AM4" s="14"/>
      <c r="AN4" s="14"/>
      <c r="AO4" s="14"/>
      <c r="AP4" s="15"/>
    </row>
    <row r="5" spans="1:42" ht="15.75" x14ac:dyDescent="0.25">
      <c r="A5" s="16">
        <v>46113</v>
      </c>
      <c r="B5" s="42"/>
      <c r="C5" s="42"/>
      <c r="D5" s="42"/>
      <c r="E5" s="51"/>
      <c r="F5" s="42"/>
      <c r="G5" s="42"/>
      <c r="H5" s="42"/>
      <c r="I5" s="42"/>
      <c r="J5" s="51"/>
      <c r="K5" s="51"/>
      <c r="L5" s="51"/>
      <c r="M5" s="51"/>
      <c r="N5" s="17">
        <f t="shared" ref="N5:Y6" si="0">N4-Z4+B5</f>
        <v>1800</v>
      </c>
      <c r="O5" s="17">
        <f t="shared" si="0"/>
        <v>0</v>
      </c>
      <c r="P5" s="17">
        <f t="shared" si="0"/>
        <v>0</v>
      </c>
      <c r="Q5" s="17">
        <f t="shared" si="0"/>
        <v>0</v>
      </c>
      <c r="R5" s="17">
        <f t="shared" si="0"/>
        <v>0</v>
      </c>
      <c r="S5" s="17">
        <f t="shared" si="0"/>
        <v>0</v>
      </c>
      <c r="T5" s="17">
        <f t="shared" si="0"/>
        <v>0</v>
      </c>
      <c r="U5" s="17">
        <f t="shared" si="0"/>
        <v>0</v>
      </c>
      <c r="V5" s="17">
        <f t="shared" si="0"/>
        <v>0</v>
      </c>
      <c r="W5" s="17">
        <f t="shared" si="0"/>
        <v>0</v>
      </c>
      <c r="X5" s="17">
        <f t="shared" si="0"/>
        <v>0</v>
      </c>
      <c r="Y5" s="17">
        <f t="shared" si="0"/>
        <v>0</v>
      </c>
      <c r="Z5" s="20"/>
      <c r="AA5" s="20"/>
      <c r="AB5" s="84"/>
      <c r="AC5" s="20"/>
      <c r="AD5" s="20"/>
      <c r="AE5" s="20"/>
      <c r="AF5" s="20"/>
      <c r="AG5" s="20"/>
      <c r="AH5" s="20"/>
      <c r="AI5" s="20"/>
      <c r="AJ5" s="20"/>
      <c r="AK5" s="20"/>
      <c r="AL5" s="18">
        <f t="shared" ref="AL5:AO6" si="1">N5+R5+V5</f>
        <v>1800</v>
      </c>
      <c r="AM5" s="18">
        <f t="shared" si="1"/>
        <v>0</v>
      </c>
      <c r="AN5" s="18">
        <f t="shared" si="1"/>
        <v>0</v>
      </c>
      <c r="AO5" s="18">
        <f t="shared" si="1"/>
        <v>0</v>
      </c>
      <c r="AP5" s="19">
        <f>(AL5+AM5+AN5+AO5)/(20)</f>
        <v>90</v>
      </c>
    </row>
    <row r="6" spans="1:42" ht="15.75" x14ac:dyDescent="0.25">
      <c r="A6" s="16">
        <v>46114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17">
        <f t="shared" ref="N6:N37" si="2">N5-Z5+B6</f>
        <v>1800</v>
      </c>
      <c r="O6" s="17">
        <f t="shared" si="0"/>
        <v>0</v>
      </c>
      <c r="P6" s="17">
        <f t="shared" ref="P6:P37" si="3">P5-AB5+D6</f>
        <v>0</v>
      </c>
      <c r="Q6" s="17">
        <f t="shared" ref="Q6:Q37" si="4">Q5-AC5+E6</f>
        <v>0</v>
      </c>
      <c r="R6" s="17">
        <f t="shared" ref="R6:R37" si="5">R5-AD5+F6</f>
        <v>0</v>
      </c>
      <c r="S6" s="17">
        <f t="shared" ref="S6:S37" si="6">S5-AE5+G6</f>
        <v>0</v>
      </c>
      <c r="T6" s="17">
        <f t="shared" ref="T6:T37" si="7">T5-AF5+H6</f>
        <v>0</v>
      </c>
      <c r="U6" s="17">
        <f t="shared" ref="U6:U37" si="8">U5-AG5+I6</f>
        <v>0</v>
      </c>
      <c r="V6" s="17">
        <f t="shared" si="0"/>
        <v>0</v>
      </c>
      <c r="W6" s="17">
        <f t="shared" si="0"/>
        <v>0</v>
      </c>
      <c r="X6" s="17">
        <f t="shared" ref="X6" si="9">X5-AJ5+L6</f>
        <v>0</v>
      </c>
      <c r="Y6" s="17">
        <f t="shared" ref="Y6" si="10">Y5-AK5+M6</f>
        <v>0</v>
      </c>
      <c r="Z6" s="20"/>
      <c r="AA6" s="20"/>
      <c r="AB6" s="84"/>
      <c r="AC6" s="20"/>
      <c r="AD6" s="20"/>
      <c r="AE6" s="20"/>
      <c r="AF6" s="20"/>
      <c r="AG6" s="20"/>
      <c r="AH6" s="20"/>
      <c r="AI6" s="20"/>
      <c r="AJ6" s="20"/>
      <c r="AK6" s="20"/>
      <c r="AL6" s="18">
        <f t="shared" si="1"/>
        <v>1800</v>
      </c>
      <c r="AM6" s="18">
        <f t="shared" si="1"/>
        <v>0</v>
      </c>
      <c r="AN6" s="18">
        <f t="shared" si="1"/>
        <v>0</v>
      </c>
      <c r="AO6" s="18">
        <f t="shared" si="1"/>
        <v>0</v>
      </c>
      <c r="AP6" s="19">
        <f t="shared" ref="AP6:AP35" si="11">(AL6+AM6+AN6+AO6)/(20)</f>
        <v>90</v>
      </c>
    </row>
    <row r="7" spans="1:42" ht="15.75" x14ac:dyDescent="0.25">
      <c r="A7" s="16">
        <v>46115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17">
        <f t="shared" si="2"/>
        <v>1800</v>
      </c>
      <c r="O7" s="17">
        <f t="shared" ref="O7:O37" si="12">O6-AA6+C7</f>
        <v>0</v>
      </c>
      <c r="P7" s="17">
        <f t="shared" si="3"/>
        <v>0</v>
      </c>
      <c r="Q7" s="17">
        <f t="shared" si="4"/>
        <v>0</v>
      </c>
      <c r="R7" s="17">
        <f t="shared" si="5"/>
        <v>0</v>
      </c>
      <c r="S7" s="17">
        <f t="shared" si="6"/>
        <v>0</v>
      </c>
      <c r="T7" s="17">
        <f t="shared" si="7"/>
        <v>0</v>
      </c>
      <c r="U7" s="17">
        <f t="shared" si="8"/>
        <v>0</v>
      </c>
      <c r="V7" s="17">
        <f t="shared" ref="V7:V37" si="13">V6-AH6+J7</f>
        <v>0</v>
      </c>
      <c r="W7" s="17">
        <f t="shared" ref="W7:W37" si="14">W6-AI6+K7</f>
        <v>0</v>
      </c>
      <c r="X7" s="17">
        <f t="shared" ref="X7:X37" si="15">X6-AJ6+L7</f>
        <v>0</v>
      </c>
      <c r="Y7" s="17">
        <f t="shared" ref="Y7:Y37" si="16">Y6-AK6+M7</f>
        <v>0</v>
      </c>
      <c r="Z7" s="20"/>
      <c r="AA7" s="20"/>
      <c r="AB7" s="84"/>
      <c r="AC7" s="20"/>
      <c r="AD7" s="20"/>
      <c r="AE7" s="20"/>
      <c r="AF7" s="20"/>
      <c r="AG7" s="20"/>
      <c r="AH7" s="20"/>
      <c r="AI7" s="20"/>
      <c r="AJ7" s="20"/>
      <c r="AK7" s="20"/>
      <c r="AL7" s="18">
        <f t="shared" ref="AL7:AL37" si="17">N7+R7+V7</f>
        <v>1800</v>
      </c>
      <c r="AM7" s="18">
        <f t="shared" ref="AM7:AM37" si="18">O7+S7+W7</f>
        <v>0</v>
      </c>
      <c r="AN7" s="18">
        <f t="shared" ref="AN7:AN37" si="19">P7+T7+X7</f>
        <v>0</v>
      </c>
      <c r="AO7" s="18">
        <f t="shared" ref="AO7:AO37" si="20">Q7+U7+Y7</f>
        <v>0</v>
      </c>
      <c r="AP7" s="19">
        <f t="shared" si="11"/>
        <v>90</v>
      </c>
    </row>
    <row r="8" spans="1:42" ht="15.75" x14ac:dyDescent="0.25">
      <c r="A8" s="16">
        <v>46116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17">
        <f t="shared" si="2"/>
        <v>1800</v>
      </c>
      <c r="O8" s="17">
        <f t="shared" si="12"/>
        <v>0</v>
      </c>
      <c r="P8" s="17">
        <f t="shared" si="3"/>
        <v>0</v>
      </c>
      <c r="Q8" s="17">
        <f t="shared" si="4"/>
        <v>0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8"/>
        <v>0</v>
      </c>
      <c r="V8" s="17">
        <f t="shared" si="13"/>
        <v>0</v>
      </c>
      <c r="W8" s="17">
        <f t="shared" si="14"/>
        <v>0</v>
      </c>
      <c r="X8" s="17">
        <f t="shared" si="15"/>
        <v>0</v>
      </c>
      <c r="Y8" s="17">
        <f t="shared" si="16"/>
        <v>0</v>
      </c>
      <c r="Z8" s="20">
        <v>300</v>
      </c>
      <c r="AA8" s="20"/>
      <c r="AB8" s="84"/>
      <c r="AC8" s="20"/>
      <c r="AD8" s="20"/>
      <c r="AE8" s="20"/>
      <c r="AF8" s="20"/>
      <c r="AG8" s="20"/>
      <c r="AH8" s="20"/>
      <c r="AI8" s="20"/>
      <c r="AJ8" s="20"/>
      <c r="AK8" s="20"/>
      <c r="AL8" s="18">
        <f t="shared" si="17"/>
        <v>1800</v>
      </c>
      <c r="AM8" s="18">
        <f t="shared" si="18"/>
        <v>0</v>
      </c>
      <c r="AN8" s="18">
        <f t="shared" si="19"/>
        <v>0</v>
      </c>
      <c r="AO8" s="18">
        <f t="shared" si="20"/>
        <v>0</v>
      </c>
      <c r="AP8" s="19">
        <f t="shared" si="11"/>
        <v>90</v>
      </c>
    </row>
    <row r="9" spans="1:42" ht="15.75" x14ac:dyDescent="0.25">
      <c r="A9" s="16">
        <v>46117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17">
        <f t="shared" si="2"/>
        <v>1500</v>
      </c>
      <c r="O9" s="17">
        <f t="shared" si="12"/>
        <v>0</v>
      </c>
      <c r="P9" s="17">
        <f t="shared" si="3"/>
        <v>0</v>
      </c>
      <c r="Q9" s="17">
        <f t="shared" si="4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8"/>
        <v>0</v>
      </c>
      <c r="V9" s="17">
        <f t="shared" si="13"/>
        <v>0</v>
      </c>
      <c r="W9" s="17">
        <f t="shared" si="14"/>
        <v>0</v>
      </c>
      <c r="X9" s="17">
        <f t="shared" si="15"/>
        <v>0</v>
      </c>
      <c r="Y9" s="17">
        <f t="shared" si="16"/>
        <v>0</v>
      </c>
      <c r="Z9" s="20"/>
      <c r="AA9" s="20"/>
      <c r="AB9" s="84"/>
      <c r="AC9" s="20"/>
      <c r="AD9" s="20"/>
      <c r="AE9" s="20"/>
      <c r="AF9" s="20"/>
      <c r="AG9" s="20"/>
      <c r="AH9" s="20"/>
      <c r="AI9" s="20"/>
      <c r="AJ9" s="20"/>
      <c r="AK9" s="20"/>
      <c r="AL9" s="18">
        <f t="shared" si="17"/>
        <v>1500</v>
      </c>
      <c r="AM9" s="18">
        <f t="shared" si="18"/>
        <v>0</v>
      </c>
      <c r="AN9" s="18">
        <f t="shared" si="19"/>
        <v>0</v>
      </c>
      <c r="AO9" s="18">
        <f t="shared" si="20"/>
        <v>0</v>
      </c>
      <c r="AP9" s="19">
        <f t="shared" si="11"/>
        <v>75</v>
      </c>
    </row>
    <row r="10" spans="1:42" ht="15.75" x14ac:dyDescent="0.25">
      <c r="A10" s="16">
        <v>46118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17">
        <f t="shared" si="2"/>
        <v>1500</v>
      </c>
      <c r="O10" s="17">
        <f t="shared" si="12"/>
        <v>0</v>
      </c>
      <c r="P10" s="17">
        <f t="shared" si="3"/>
        <v>0</v>
      </c>
      <c r="Q10" s="17">
        <f t="shared" si="4"/>
        <v>0</v>
      </c>
      <c r="R10" s="17">
        <f t="shared" si="5"/>
        <v>0</v>
      </c>
      <c r="S10" s="17">
        <f t="shared" si="6"/>
        <v>0</v>
      </c>
      <c r="T10" s="17">
        <f t="shared" si="7"/>
        <v>0</v>
      </c>
      <c r="U10" s="17">
        <f t="shared" si="8"/>
        <v>0</v>
      </c>
      <c r="V10" s="17">
        <f t="shared" si="13"/>
        <v>0</v>
      </c>
      <c r="W10" s="17">
        <f t="shared" si="14"/>
        <v>0</v>
      </c>
      <c r="X10" s="17">
        <f t="shared" si="15"/>
        <v>0</v>
      </c>
      <c r="Y10" s="17">
        <f t="shared" si="16"/>
        <v>0</v>
      </c>
      <c r="Z10" s="20"/>
      <c r="AA10" s="20"/>
      <c r="AB10" s="84"/>
      <c r="AC10" s="20"/>
      <c r="AD10" s="20"/>
      <c r="AE10" s="20"/>
      <c r="AF10" s="20"/>
      <c r="AG10" s="20"/>
      <c r="AH10" s="20"/>
      <c r="AI10" s="20"/>
      <c r="AJ10" s="20"/>
      <c r="AK10" s="20"/>
      <c r="AL10" s="18">
        <f t="shared" si="17"/>
        <v>1500</v>
      </c>
      <c r="AM10" s="18">
        <f t="shared" si="18"/>
        <v>0</v>
      </c>
      <c r="AN10" s="18">
        <f t="shared" si="19"/>
        <v>0</v>
      </c>
      <c r="AO10" s="18">
        <f t="shared" si="20"/>
        <v>0</v>
      </c>
      <c r="AP10" s="19">
        <f t="shared" si="11"/>
        <v>75</v>
      </c>
    </row>
    <row r="11" spans="1:42" ht="15.75" x14ac:dyDescent="0.25">
      <c r="A11" s="16">
        <v>46119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17">
        <f t="shared" si="2"/>
        <v>1500</v>
      </c>
      <c r="O11" s="17">
        <f t="shared" si="12"/>
        <v>0</v>
      </c>
      <c r="P11" s="17">
        <f t="shared" si="3"/>
        <v>0</v>
      </c>
      <c r="Q11" s="17">
        <f t="shared" si="4"/>
        <v>0</v>
      </c>
      <c r="R11" s="17">
        <f t="shared" si="5"/>
        <v>0</v>
      </c>
      <c r="S11" s="17">
        <f t="shared" si="6"/>
        <v>0</v>
      </c>
      <c r="T11" s="17">
        <f t="shared" si="7"/>
        <v>0</v>
      </c>
      <c r="U11" s="17">
        <f t="shared" si="8"/>
        <v>0</v>
      </c>
      <c r="V11" s="17">
        <f t="shared" si="13"/>
        <v>0</v>
      </c>
      <c r="W11" s="17">
        <f t="shared" si="14"/>
        <v>0</v>
      </c>
      <c r="X11" s="17">
        <f t="shared" si="15"/>
        <v>0</v>
      </c>
      <c r="Y11" s="17">
        <f t="shared" si="16"/>
        <v>0</v>
      </c>
      <c r="Z11" s="20"/>
      <c r="AA11" s="20"/>
      <c r="AB11" s="84"/>
      <c r="AC11" s="20"/>
      <c r="AD11" s="20"/>
      <c r="AE11" s="20"/>
      <c r="AF11" s="20"/>
      <c r="AG11" s="20"/>
      <c r="AH11" s="20"/>
      <c r="AI11" s="20"/>
      <c r="AJ11" s="20"/>
      <c r="AK11" s="20"/>
      <c r="AL11" s="18">
        <f t="shared" si="17"/>
        <v>1500</v>
      </c>
      <c r="AM11" s="18">
        <f t="shared" si="18"/>
        <v>0</v>
      </c>
      <c r="AN11" s="18">
        <f t="shared" si="19"/>
        <v>0</v>
      </c>
      <c r="AO11" s="18">
        <f t="shared" si="20"/>
        <v>0</v>
      </c>
      <c r="AP11" s="19">
        <f t="shared" si="11"/>
        <v>75</v>
      </c>
    </row>
    <row r="12" spans="1:42" ht="15.75" x14ac:dyDescent="0.25">
      <c r="A12" s="16">
        <v>46120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17">
        <f t="shared" si="2"/>
        <v>1500</v>
      </c>
      <c r="O12" s="17">
        <f t="shared" si="12"/>
        <v>0</v>
      </c>
      <c r="P12" s="17">
        <f t="shared" si="3"/>
        <v>0</v>
      </c>
      <c r="Q12" s="17">
        <f t="shared" si="4"/>
        <v>0</v>
      </c>
      <c r="R12" s="17">
        <f t="shared" si="5"/>
        <v>0</v>
      </c>
      <c r="S12" s="17">
        <f t="shared" si="6"/>
        <v>0</v>
      </c>
      <c r="T12" s="17">
        <f t="shared" si="7"/>
        <v>0</v>
      </c>
      <c r="U12" s="17">
        <f t="shared" si="8"/>
        <v>0</v>
      </c>
      <c r="V12" s="17">
        <f t="shared" si="13"/>
        <v>0</v>
      </c>
      <c r="W12" s="17">
        <f t="shared" si="14"/>
        <v>0</v>
      </c>
      <c r="X12" s="17">
        <f t="shared" si="15"/>
        <v>0</v>
      </c>
      <c r="Y12" s="17">
        <f t="shared" si="16"/>
        <v>0</v>
      </c>
      <c r="Z12" s="20"/>
      <c r="AA12" s="20"/>
      <c r="AB12" s="84"/>
      <c r="AC12" s="20"/>
      <c r="AD12" s="20"/>
      <c r="AE12" s="20"/>
      <c r="AF12" s="20"/>
      <c r="AG12" s="20"/>
      <c r="AH12" s="20"/>
      <c r="AI12" s="20"/>
      <c r="AJ12" s="20"/>
      <c r="AK12" s="20"/>
      <c r="AL12" s="18">
        <f t="shared" si="17"/>
        <v>1500</v>
      </c>
      <c r="AM12" s="18">
        <f t="shared" si="18"/>
        <v>0</v>
      </c>
      <c r="AN12" s="18">
        <f t="shared" si="19"/>
        <v>0</v>
      </c>
      <c r="AO12" s="18">
        <f t="shared" si="20"/>
        <v>0</v>
      </c>
      <c r="AP12" s="19">
        <f t="shared" si="11"/>
        <v>75</v>
      </c>
    </row>
    <row r="13" spans="1:42" ht="15.75" x14ac:dyDescent="0.25">
      <c r="A13" s="16">
        <v>46121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17">
        <f t="shared" si="2"/>
        <v>1500</v>
      </c>
      <c r="O13" s="17">
        <f t="shared" si="12"/>
        <v>0</v>
      </c>
      <c r="P13" s="17">
        <f t="shared" si="3"/>
        <v>0</v>
      </c>
      <c r="Q13" s="17">
        <f t="shared" si="4"/>
        <v>0</v>
      </c>
      <c r="R13" s="17">
        <f t="shared" si="5"/>
        <v>0</v>
      </c>
      <c r="S13" s="17">
        <f t="shared" si="6"/>
        <v>0</v>
      </c>
      <c r="T13" s="17">
        <f t="shared" si="7"/>
        <v>0</v>
      </c>
      <c r="U13" s="17">
        <f t="shared" si="8"/>
        <v>0</v>
      </c>
      <c r="V13" s="17">
        <f t="shared" si="13"/>
        <v>0</v>
      </c>
      <c r="W13" s="17">
        <f t="shared" si="14"/>
        <v>0</v>
      </c>
      <c r="X13" s="17">
        <f t="shared" si="15"/>
        <v>0</v>
      </c>
      <c r="Y13" s="17">
        <f t="shared" si="16"/>
        <v>0</v>
      </c>
      <c r="Z13" s="20"/>
      <c r="AA13" s="20"/>
      <c r="AB13" s="84"/>
      <c r="AC13" s="20"/>
      <c r="AD13" s="20"/>
      <c r="AE13" s="20"/>
      <c r="AF13" s="20"/>
      <c r="AG13" s="20"/>
      <c r="AH13" s="20"/>
      <c r="AI13" s="20"/>
      <c r="AJ13" s="20"/>
      <c r="AK13" s="20"/>
      <c r="AL13" s="18">
        <f t="shared" si="17"/>
        <v>1500</v>
      </c>
      <c r="AM13" s="18">
        <f t="shared" si="18"/>
        <v>0</v>
      </c>
      <c r="AN13" s="18">
        <f t="shared" si="19"/>
        <v>0</v>
      </c>
      <c r="AO13" s="18">
        <f t="shared" si="20"/>
        <v>0</v>
      </c>
      <c r="AP13" s="19">
        <f t="shared" si="11"/>
        <v>75</v>
      </c>
    </row>
    <row r="14" spans="1:42" ht="15.75" x14ac:dyDescent="0.25">
      <c r="A14" s="16">
        <v>46122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17">
        <f t="shared" si="2"/>
        <v>1500</v>
      </c>
      <c r="O14" s="17">
        <f t="shared" si="12"/>
        <v>0</v>
      </c>
      <c r="P14" s="17">
        <f t="shared" si="3"/>
        <v>0</v>
      </c>
      <c r="Q14" s="17">
        <f t="shared" si="4"/>
        <v>0</v>
      </c>
      <c r="R14" s="17">
        <f t="shared" si="5"/>
        <v>0</v>
      </c>
      <c r="S14" s="17">
        <f t="shared" si="6"/>
        <v>0</v>
      </c>
      <c r="T14" s="17">
        <f t="shared" si="7"/>
        <v>0</v>
      </c>
      <c r="U14" s="17">
        <f t="shared" si="8"/>
        <v>0</v>
      </c>
      <c r="V14" s="17">
        <f t="shared" si="13"/>
        <v>0</v>
      </c>
      <c r="W14" s="17">
        <f t="shared" si="14"/>
        <v>0</v>
      </c>
      <c r="X14" s="17">
        <f t="shared" si="15"/>
        <v>0</v>
      </c>
      <c r="Y14" s="17">
        <f t="shared" si="16"/>
        <v>0</v>
      </c>
      <c r="Z14" s="20"/>
      <c r="AA14" s="20"/>
      <c r="AB14" s="84"/>
      <c r="AC14" s="20"/>
      <c r="AD14" s="20"/>
      <c r="AE14" s="20"/>
      <c r="AF14" s="20"/>
      <c r="AG14" s="20"/>
      <c r="AH14" s="20"/>
      <c r="AI14" s="20"/>
      <c r="AJ14" s="20"/>
      <c r="AK14" s="20"/>
      <c r="AL14" s="18">
        <f t="shared" si="17"/>
        <v>1500</v>
      </c>
      <c r="AM14" s="18">
        <f t="shared" si="18"/>
        <v>0</v>
      </c>
      <c r="AN14" s="18">
        <f t="shared" si="19"/>
        <v>0</v>
      </c>
      <c r="AO14" s="18">
        <f t="shared" si="20"/>
        <v>0</v>
      </c>
      <c r="AP14" s="19">
        <f t="shared" si="11"/>
        <v>75</v>
      </c>
    </row>
    <row r="15" spans="1:42" ht="15.75" x14ac:dyDescent="0.25">
      <c r="A15" s="16">
        <v>46123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17">
        <f t="shared" si="2"/>
        <v>1500</v>
      </c>
      <c r="O15" s="17">
        <f t="shared" si="12"/>
        <v>0</v>
      </c>
      <c r="P15" s="17">
        <f t="shared" si="3"/>
        <v>0</v>
      </c>
      <c r="Q15" s="17">
        <f t="shared" si="4"/>
        <v>0</v>
      </c>
      <c r="R15" s="17">
        <f t="shared" si="5"/>
        <v>0</v>
      </c>
      <c r="S15" s="17">
        <f t="shared" si="6"/>
        <v>0</v>
      </c>
      <c r="T15" s="17">
        <f t="shared" si="7"/>
        <v>0</v>
      </c>
      <c r="U15" s="17">
        <f t="shared" si="8"/>
        <v>0</v>
      </c>
      <c r="V15" s="17">
        <f t="shared" si="13"/>
        <v>0</v>
      </c>
      <c r="W15" s="17">
        <f t="shared" si="14"/>
        <v>0</v>
      </c>
      <c r="X15" s="17">
        <f t="shared" si="15"/>
        <v>0</v>
      </c>
      <c r="Y15" s="17">
        <f t="shared" si="16"/>
        <v>0</v>
      </c>
      <c r="Z15" s="20"/>
      <c r="AA15" s="20"/>
      <c r="AB15" s="84"/>
      <c r="AC15" s="20"/>
      <c r="AD15" s="20"/>
      <c r="AE15" s="20"/>
      <c r="AF15" s="20"/>
      <c r="AG15" s="20"/>
      <c r="AH15" s="20"/>
      <c r="AI15" s="20"/>
      <c r="AJ15" s="20"/>
      <c r="AK15" s="20"/>
      <c r="AL15" s="18">
        <f t="shared" si="17"/>
        <v>1500</v>
      </c>
      <c r="AM15" s="18">
        <f t="shared" si="18"/>
        <v>0</v>
      </c>
      <c r="AN15" s="18">
        <f t="shared" si="19"/>
        <v>0</v>
      </c>
      <c r="AO15" s="18">
        <f t="shared" si="20"/>
        <v>0</v>
      </c>
      <c r="AP15" s="19">
        <f t="shared" si="11"/>
        <v>75</v>
      </c>
    </row>
    <row r="16" spans="1:42" ht="15.75" x14ac:dyDescent="0.25">
      <c r="A16" s="16">
        <v>46124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17">
        <f t="shared" si="2"/>
        <v>1500</v>
      </c>
      <c r="O16" s="17">
        <f t="shared" si="12"/>
        <v>0</v>
      </c>
      <c r="P16" s="17">
        <f t="shared" si="3"/>
        <v>0</v>
      </c>
      <c r="Q16" s="17">
        <f t="shared" si="4"/>
        <v>0</v>
      </c>
      <c r="R16" s="17">
        <f t="shared" si="5"/>
        <v>0</v>
      </c>
      <c r="S16" s="17">
        <f t="shared" si="6"/>
        <v>0</v>
      </c>
      <c r="T16" s="17">
        <f t="shared" si="7"/>
        <v>0</v>
      </c>
      <c r="U16" s="17">
        <f t="shared" si="8"/>
        <v>0</v>
      </c>
      <c r="V16" s="17">
        <f t="shared" si="13"/>
        <v>0</v>
      </c>
      <c r="W16" s="17">
        <f t="shared" si="14"/>
        <v>0</v>
      </c>
      <c r="X16" s="17">
        <f t="shared" si="15"/>
        <v>0</v>
      </c>
      <c r="Y16" s="17">
        <f t="shared" si="16"/>
        <v>0</v>
      </c>
      <c r="Z16" s="20"/>
      <c r="AA16" s="20"/>
      <c r="AB16" s="84"/>
      <c r="AC16" s="20"/>
      <c r="AD16" s="20"/>
      <c r="AE16" s="20"/>
      <c r="AF16" s="20"/>
      <c r="AG16" s="20"/>
      <c r="AH16" s="20"/>
      <c r="AI16" s="20"/>
      <c r="AJ16" s="20"/>
      <c r="AK16" s="20"/>
      <c r="AL16" s="18">
        <f t="shared" si="17"/>
        <v>1500</v>
      </c>
      <c r="AM16" s="18">
        <f t="shared" si="18"/>
        <v>0</v>
      </c>
      <c r="AN16" s="18">
        <f t="shared" si="19"/>
        <v>0</v>
      </c>
      <c r="AO16" s="18">
        <f t="shared" si="20"/>
        <v>0</v>
      </c>
      <c r="AP16" s="19">
        <f t="shared" si="11"/>
        <v>75</v>
      </c>
    </row>
    <row r="17" spans="1:42" ht="15.75" x14ac:dyDescent="0.25">
      <c r="A17" s="16">
        <v>46125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17">
        <f t="shared" si="2"/>
        <v>1500</v>
      </c>
      <c r="O17" s="17">
        <f t="shared" si="12"/>
        <v>0</v>
      </c>
      <c r="P17" s="17">
        <f t="shared" si="3"/>
        <v>0</v>
      </c>
      <c r="Q17" s="17">
        <f t="shared" si="4"/>
        <v>0</v>
      </c>
      <c r="R17" s="17">
        <f t="shared" si="5"/>
        <v>0</v>
      </c>
      <c r="S17" s="17">
        <f t="shared" si="6"/>
        <v>0</v>
      </c>
      <c r="T17" s="17">
        <f t="shared" si="7"/>
        <v>0</v>
      </c>
      <c r="U17" s="17">
        <f t="shared" si="8"/>
        <v>0</v>
      </c>
      <c r="V17" s="17">
        <f t="shared" si="13"/>
        <v>0</v>
      </c>
      <c r="W17" s="17">
        <f t="shared" si="14"/>
        <v>0</v>
      </c>
      <c r="X17" s="17">
        <f t="shared" si="15"/>
        <v>0</v>
      </c>
      <c r="Y17" s="17">
        <f t="shared" si="16"/>
        <v>0</v>
      </c>
      <c r="Z17" s="20"/>
      <c r="AA17" s="20"/>
      <c r="AB17" s="84"/>
      <c r="AC17" s="20"/>
      <c r="AD17" s="20"/>
      <c r="AE17" s="20"/>
      <c r="AF17" s="20"/>
      <c r="AG17" s="20"/>
      <c r="AH17" s="20"/>
      <c r="AI17" s="20"/>
      <c r="AJ17" s="20"/>
      <c r="AK17" s="20"/>
      <c r="AL17" s="18">
        <f t="shared" si="17"/>
        <v>1500</v>
      </c>
      <c r="AM17" s="18">
        <f t="shared" si="18"/>
        <v>0</v>
      </c>
      <c r="AN17" s="18">
        <f t="shared" si="19"/>
        <v>0</v>
      </c>
      <c r="AO17" s="18">
        <f t="shared" si="20"/>
        <v>0</v>
      </c>
      <c r="AP17" s="19">
        <f t="shared" si="11"/>
        <v>75</v>
      </c>
    </row>
    <row r="18" spans="1:42" ht="15.75" x14ac:dyDescent="0.25">
      <c r="A18" s="16">
        <v>46126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17">
        <f t="shared" si="2"/>
        <v>1500</v>
      </c>
      <c r="O18" s="17">
        <f t="shared" si="12"/>
        <v>0</v>
      </c>
      <c r="P18" s="17">
        <f t="shared" si="3"/>
        <v>0</v>
      </c>
      <c r="Q18" s="17">
        <f t="shared" si="4"/>
        <v>0</v>
      </c>
      <c r="R18" s="17">
        <f t="shared" si="5"/>
        <v>0</v>
      </c>
      <c r="S18" s="17">
        <f t="shared" si="6"/>
        <v>0</v>
      </c>
      <c r="T18" s="17">
        <f t="shared" si="7"/>
        <v>0</v>
      </c>
      <c r="U18" s="17">
        <f t="shared" si="8"/>
        <v>0</v>
      </c>
      <c r="V18" s="17">
        <f t="shared" si="13"/>
        <v>0</v>
      </c>
      <c r="W18" s="17">
        <f t="shared" si="14"/>
        <v>0</v>
      </c>
      <c r="X18" s="17">
        <f t="shared" si="15"/>
        <v>0</v>
      </c>
      <c r="Y18" s="17">
        <f t="shared" si="16"/>
        <v>0</v>
      </c>
      <c r="Z18" s="20"/>
      <c r="AA18" s="20"/>
      <c r="AB18" s="84"/>
      <c r="AC18" s="20"/>
      <c r="AD18" s="20"/>
      <c r="AE18" s="20"/>
      <c r="AF18" s="20"/>
      <c r="AG18" s="20"/>
      <c r="AH18" s="20"/>
      <c r="AI18" s="20"/>
      <c r="AJ18" s="20"/>
      <c r="AK18" s="20"/>
      <c r="AL18" s="18">
        <f t="shared" si="17"/>
        <v>1500</v>
      </c>
      <c r="AM18" s="18">
        <f t="shared" si="18"/>
        <v>0</v>
      </c>
      <c r="AN18" s="18">
        <f t="shared" si="19"/>
        <v>0</v>
      </c>
      <c r="AO18" s="18">
        <f t="shared" si="20"/>
        <v>0</v>
      </c>
      <c r="AP18" s="19">
        <f t="shared" si="11"/>
        <v>75</v>
      </c>
    </row>
    <row r="19" spans="1:42" ht="15.75" x14ac:dyDescent="0.25">
      <c r="A19" s="16">
        <v>46127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17">
        <f t="shared" si="2"/>
        <v>1500</v>
      </c>
      <c r="O19" s="17">
        <f t="shared" si="12"/>
        <v>0</v>
      </c>
      <c r="P19" s="17">
        <f t="shared" si="3"/>
        <v>0</v>
      </c>
      <c r="Q19" s="17">
        <f t="shared" si="4"/>
        <v>0</v>
      </c>
      <c r="R19" s="17">
        <f t="shared" si="5"/>
        <v>0</v>
      </c>
      <c r="S19" s="17">
        <f t="shared" si="6"/>
        <v>0</v>
      </c>
      <c r="T19" s="17">
        <f t="shared" si="7"/>
        <v>0</v>
      </c>
      <c r="U19" s="17">
        <f t="shared" si="8"/>
        <v>0</v>
      </c>
      <c r="V19" s="17">
        <f t="shared" si="13"/>
        <v>0</v>
      </c>
      <c r="W19" s="17">
        <f t="shared" si="14"/>
        <v>0</v>
      </c>
      <c r="X19" s="17">
        <f t="shared" si="15"/>
        <v>0</v>
      </c>
      <c r="Y19" s="17">
        <f t="shared" si="16"/>
        <v>0</v>
      </c>
      <c r="Z19" s="20"/>
      <c r="AA19" s="20"/>
      <c r="AB19" s="84"/>
      <c r="AC19" s="20"/>
      <c r="AD19" s="20"/>
      <c r="AE19" s="20"/>
      <c r="AF19" s="20"/>
      <c r="AG19" s="20"/>
      <c r="AH19" s="20"/>
      <c r="AI19" s="20"/>
      <c r="AJ19" s="20"/>
      <c r="AK19" s="20"/>
      <c r="AL19" s="18">
        <f t="shared" si="17"/>
        <v>1500</v>
      </c>
      <c r="AM19" s="18">
        <f t="shared" si="18"/>
        <v>0</v>
      </c>
      <c r="AN19" s="18">
        <f t="shared" si="19"/>
        <v>0</v>
      </c>
      <c r="AO19" s="18">
        <f t="shared" si="20"/>
        <v>0</v>
      </c>
      <c r="AP19" s="19">
        <f t="shared" si="11"/>
        <v>75</v>
      </c>
    </row>
    <row r="20" spans="1:42" ht="15.75" x14ac:dyDescent="0.25">
      <c r="A20" s="16">
        <v>46128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17">
        <f t="shared" si="2"/>
        <v>1500</v>
      </c>
      <c r="O20" s="17">
        <f t="shared" si="12"/>
        <v>0</v>
      </c>
      <c r="P20" s="17">
        <f t="shared" si="3"/>
        <v>0</v>
      </c>
      <c r="Q20" s="17">
        <f t="shared" si="4"/>
        <v>0</v>
      </c>
      <c r="R20" s="17">
        <f t="shared" si="5"/>
        <v>0</v>
      </c>
      <c r="S20" s="17">
        <f t="shared" si="6"/>
        <v>0</v>
      </c>
      <c r="T20" s="17">
        <f t="shared" si="7"/>
        <v>0</v>
      </c>
      <c r="U20" s="17">
        <f t="shared" si="8"/>
        <v>0</v>
      </c>
      <c r="V20" s="17">
        <f t="shared" si="13"/>
        <v>0</v>
      </c>
      <c r="W20" s="17">
        <f t="shared" si="14"/>
        <v>0</v>
      </c>
      <c r="X20" s="17">
        <f t="shared" si="15"/>
        <v>0</v>
      </c>
      <c r="Y20" s="17">
        <f t="shared" si="16"/>
        <v>0</v>
      </c>
      <c r="Z20" s="20"/>
      <c r="AA20" s="20"/>
      <c r="AB20" s="84"/>
      <c r="AC20" s="20"/>
      <c r="AD20" s="20"/>
      <c r="AE20" s="20"/>
      <c r="AF20" s="20"/>
      <c r="AG20" s="20"/>
      <c r="AH20" s="20"/>
      <c r="AI20" s="20"/>
      <c r="AJ20" s="20"/>
      <c r="AK20" s="20"/>
      <c r="AL20" s="18">
        <f t="shared" si="17"/>
        <v>1500</v>
      </c>
      <c r="AM20" s="18">
        <f t="shared" si="18"/>
        <v>0</v>
      </c>
      <c r="AN20" s="18">
        <f t="shared" si="19"/>
        <v>0</v>
      </c>
      <c r="AO20" s="18">
        <f t="shared" si="20"/>
        <v>0</v>
      </c>
      <c r="AP20" s="19">
        <f t="shared" si="11"/>
        <v>75</v>
      </c>
    </row>
    <row r="21" spans="1:42" ht="15.75" x14ac:dyDescent="0.25">
      <c r="A21" s="16">
        <v>46129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17">
        <f t="shared" si="2"/>
        <v>1500</v>
      </c>
      <c r="O21" s="17">
        <f t="shared" si="12"/>
        <v>0</v>
      </c>
      <c r="P21" s="17">
        <f t="shared" si="3"/>
        <v>0</v>
      </c>
      <c r="Q21" s="17">
        <f t="shared" si="4"/>
        <v>0</v>
      </c>
      <c r="R21" s="17">
        <f t="shared" si="5"/>
        <v>0</v>
      </c>
      <c r="S21" s="17">
        <f t="shared" si="6"/>
        <v>0</v>
      </c>
      <c r="T21" s="17">
        <f t="shared" si="7"/>
        <v>0</v>
      </c>
      <c r="U21" s="17">
        <f t="shared" si="8"/>
        <v>0</v>
      </c>
      <c r="V21" s="17">
        <f t="shared" si="13"/>
        <v>0</v>
      </c>
      <c r="W21" s="17">
        <f t="shared" si="14"/>
        <v>0</v>
      </c>
      <c r="X21" s="17">
        <f t="shared" si="15"/>
        <v>0</v>
      </c>
      <c r="Y21" s="17">
        <f t="shared" si="16"/>
        <v>0</v>
      </c>
      <c r="Z21" s="20">
        <v>560</v>
      </c>
      <c r="AA21" s="20"/>
      <c r="AB21" s="84"/>
      <c r="AC21" s="20"/>
      <c r="AD21" s="20"/>
      <c r="AE21" s="20"/>
      <c r="AF21" s="20"/>
      <c r="AG21" s="20"/>
      <c r="AH21" s="20"/>
      <c r="AI21" s="20"/>
      <c r="AJ21" s="20"/>
      <c r="AK21" s="20"/>
      <c r="AL21" s="18">
        <f t="shared" si="17"/>
        <v>1500</v>
      </c>
      <c r="AM21" s="18">
        <f t="shared" si="18"/>
        <v>0</v>
      </c>
      <c r="AN21" s="18">
        <f t="shared" si="19"/>
        <v>0</v>
      </c>
      <c r="AO21" s="18">
        <f t="shared" si="20"/>
        <v>0</v>
      </c>
      <c r="AP21" s="19">
        <f t="shared" si="11"/>
        <v>75</v>
      </c>
    </row>
    <row r="22" spans="1:42" ht="15.75" x14ac:dyDescent="0.25">
      <c r="A22" s="16">
        <v>46130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17">
        <f t="shared" si="2"/>
        <v>940</v>
      </c>
      <c r="O22" s="17">
        <f t="shared" si="12"/>
        <v>0</v>
      </c>
      <c r="P22" s="17">
        <f t="shared" si="3"/>
        <v>0</v>
      </c>
      <c r="Q22" s="17">
        <f t="shared" si="4"/>
        <v>0</v>
      </c>
      <c r="R22" s="17">
        <f t="shared" si="5"/>
        <v>0</v>
      </c>
      <c r="S22" s="17">
        <f t="shared" si="6"/>
        <v>0</v>
      </c>
      <c r="T22" s="17">
        <f t="shared" si="7"/>
        <v>0</v>
      </c>
      <c r="U22" s="17">
        <f t="shared" si="8"/>
        <v>0</v>
      </c>
      <c r="V22" s="17">
        <f t="shared" si="13"/>
        <v>0</v>
      </c>
      <c r="W22" s="17">
        <f t="shared" si="14"/>
        <v>0</v>
      </c>
      <c r="X22" s="17">
        <f t="shared" si="15"/>
        <v>0</v>
      </c>
      <c r="Y22" s="17">
        <f t="shared" si="16"/>
        <v>0</v>
      </c>
      <c r="Z22" s="20"/>
      <c r="AA22" s="20"/>
      <c r="AB22" s="84"/>
      <c r="AC22" s="20"/>
      <c r="AD22" s="20"/>
      <c r="AE22" s="20"/>
      <c r="AF22" s="20"/>
      <c r="AG22" s="20"/>
      <c r="AH22" s="20"/>
      <c r="AI22" s="20"/>
      <c r="AJ22" s="20"/>
      <c r="AK22" s="20"/>
      <c r="AL22" s="18">
        <f t="shared" si="17"/>
        <v>940</v>
      </c>
      <c r="AM22" s="18">
        <f t="shared" si="18"/>
        <v>0</v>
      </c>
      <c r="AN22" s="18">
        <f t="shared" si="19"/>
        <v>0</v>
      </c>
      <c r="AO22" s="18">
        <f t="shared" si="20"/>
        <v>0</v>
      </c>
      <c r="AP22" s="19">
        <f t="shared" si="11"/>
        <v>47</v>
      </c>
    </row>
    <row r="23" spans="1:42" ht="15.75" x14ac:dyDescent="0.25">
      <c r="A23" s="16">
        <v>46131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17">
        <f t="shared" si="2"/>
        <v>940</v>
      </c>
      <c r="O23" s="17">
        <f t="shared" si="12"/>
        <v>0</v>
      </c>
      <c r="P23" s="17">
        <f t="shared" si="3"/>
        <v>0</v>
      </c>
      <c r="Q23" s="17">
        <f t="shared" si="4"/>
        <v>0</v>
      </c>
      <c r="R23" s="17">
        <f t="shared" si="5"/>
        <v>0</v>
      </c>
      <c r="S23" s="17">
        <f t="shared" si="6"/>
        <v>0</v>
      </c>
      <c r="T23" s="17">
        <f t="shared" si="7"/>
        <v>0</v>
      </c>
      <c r="U23" s="17">
        <f t="shared" si="8"/>
        <v>0</v>
      </c>
      <c r="V23" s="17">
        <f t="shared" si="13"/>
        <v>0</v>
      </c>
      <c r="W23" s="17">
        <f t="shared" si="14"/>
        <v>0</v>
      </c>
      <c r="X23" s="17">
        <f t="shared" si="15"/>
        <v>0</v>
      </c>
      <c r="Y23" s="17">
        <f t="shared" si="16"/>
        <v>0</v>
      </c>
      <c r="Z23" s="20"/>
      <c r="AA23" s="20"/>
      <c r="AB23" s="84"/>
      <c r="AC23" s="20"/>
      <c r="AD23" s="20"/>
      <c r="AE23" s="20"/>
      <c r="AF23" s="20"/>
      <c r="AG23" s="20"/>
      <c r="AH23" s="20"/>
      <c r="AI23" s="20"/>
      <c r="AJ23" s="20"/>
      <c r="AK23" s="20"/>
      <c r="AL23" s="18">
        <f t="shared" si="17"/>
        <v>940</v>
      </c>
      <c r="AM23" s="18">
        <f t="shared" si="18"/>
        <v>0</v>
      </c>
      <c r="AN23" s="18">
        <f t="shared" si="19"/>
        <v>0</v>
      </c>
      <c r="AO23" s="18">
        <f t="shared" si="20"/>
        <v>0</v>
      </c>
      <c r="AP23" s="19">
        <f t="shared" si="11"/>
        <v>47</v>
      </c>
    </row>
    <row r="24" spans="1:42" ht="15.75" x14ac:dyDescent="0.25">
      <c r="A24" s="16">
        <v>46132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17">
        <f t="shared" si="2"/>
        <v>940</v>
      </c>
      <c r="O24" s="17">
        <f t="shared" si="12"/>
        <v>0</v>
      </c>
      <c r="P24" s="17">
        <f t="shared" si="3"/>
        <v>0</v>
      </c>
      <c r="Q24" s="17">
        <f t="shared" si="4"/>
        <v>0</v>
      </c>
      <c r="R24" s="17">
        <f t="shared" si="5"/>
        <v>0</v>
      </c>
      <c r="S24" s="17">
        <f t="shared" si="6"/>
        <v>0</v>
      </c>
      <c r="T24" s="17">
        <f t="shared" si="7"/>
        <v>0</v>
      </c>
      <c r="U24" s="17">
        <f t="shared" si="8"/>
        <v>0</v>
      </c>
      <c r="V24" s="17">
        <f t="shared" si="13"/>
        <v>0</v>
      </c>
      <c r="W24" s="17">
        <f t="shared" si="14"/>
        <v>0</v>
      </c>
      <c r="X24" s="17">
        <f t="shared" si="15"/>
        <v>0</v>
      </c>
      <c r="Y24" s="17">
        <f t="shared" si="16"/>
        <v>0</v>
      </c>
      <c r="Z24" s="20"/>
      <c r="AA24" s="20"/>
      <c r="AB24" s="84"/>
      <c r="AC24" s="20"/>
      <c r="AD24" s="20"/>
      <c r="AE24" s="20"/>
      <c r="AF24" s="20"/>
      <c r="AG24" s="20"/>
      <c r="AH24" s="20"/>
      <c r="AI24" s="20"/>
      <c r="AJ24" s="20"/>
      <c r="AK24" s="20"/>
      <c r="AL24" s="18">
        <f t="shared" si="17"/>
        <v>940</v>
      </c>
      <c r="AM24" s="18">
        <f t="shared" si="18"/>
        <v>0</v>
      </c>
      <c r="AN24" s="18">
        <f t="shared" si="19"/>
        <v>0</v>
      </c>
      <c r="AO24" s="18">
        <f t="shared" si="20"/>
        <v>0</v>
      </c>
      <c r="AP24" s="19">
        <f t="shared" si="11"/>
        <v>47</v>
      </c>
    </row>
    <row r="25" spans="1:42" ht="15.75" x14ac:dyDescent="0.25">
      <c r="A25" s="16">
        <v>46133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17">
        <f t="shared" si="2"/>
        <v>940</v>
      </c>
      <c r="O25" s="17">
        <f t="shared" si="12"/>
        <v>0</v>
      </c>
      <c r="P25" s="17">
        <f t="shared" si="3"/>
        <v>0</v>
      </c>
      <c r="Q25" s="17">
        <f t="shared" si="4"/>
        <v>0</v>
      </c>
      <c r="R25" s="17">
        <f t="shared" si="5"/>
        <v>0</v>
      </c>
      <c r="S25" s="17">
        <f t="shared" si="6"/>
        <v>0</v>
      </c>
      <c r="T25" s="17">
        <f t="shared" si="7"/>
        <v>0</v>
      </c>
      <c r="U25" s="17">
        <f t="shared" si="8"/>
        <v>0</v>
      </c>
      <c r="V25" s="17">
        <f t="shared" si="13"/>
        <v>0</v>
      </c>
      <c r="W25" s="17">
        <f t="shared" si="14"/>
        <v>0</v>
      </c>
      <c r="X25" s="17">
        <f t="shared" si="15"/>
        <v>0</v>
      </c>
      <c r="Y25" s="17">
        <f t="shared" si="16"/>
        <v>0</v>
      </c>
      <c r="Z25" s="20"/>
      <c r="AA25" s="20"/>
      <c r="AB25" s="84"/>
      <c r="AC25" s="20"/>
      <c r="AD25" s="20"/>
      <c r="AE25" s="20"/>
      <c r="AF25" s="20"/>
      <c r="AG25" s="20"/>
      <c r="AH25" s="20"/>
      <c r="AI25" s="20"/>
      <c r="AJ25" s="20"/>
      <c r="AK25" s="20"/>
      <c r="AL25" s="18">
        <f t="shared" si="17"/>
        <v>940</v>
      </c>
      <c r="AM25" s="18">
        <f t="shared" si="18"/>
        <v>0</v>
      </c>
      <c r="AN25" s="18">
        <f t="shared" si="19"/>
        <v>0</v>
      </c>
      <c r="AO25" s="18">
        <f t="shared" si="20"/>
        <v>0</v>
      </c>
      <c r="AP25" s="19">
        <f t="shared" si="11"/>
        <v>47</v>
      </c>
    </row>
    <row r="26" spans="1:42" ht="15.75" x14ac:dyDescent="0.25">
      <c r="A26" s="16">
        <v>46134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17">
        <f t="shared" si="2"/>
        <v>940</v>
      </c>
      <c r="O26" s="17">
        <f t="shared" si="12"/>
        <v>0</v>
      </c>
      <c r="P26" s="17">
        <f t="shared" si="3"/>
        <v>0</v>
      </c>
      <c r="Q26" s="17">
        <f t="shared" si="4"/>
        <v>0</v>
      </c>
      <c r="R26" s="17">
        <f t="shared" si="5"/>
        <v>0</v>
      </c>
      <c r="S26" s="17">
        <f t="shared" si="6"/>
        <v>0</v>
      </c>
      <c r="T26" s="17">
        <f t="shared" si="7"/>
        <v>0</v>
      </c>
      <c r="U26" s="17">
        <f t="shared" si="8"/>
        <v>0</v>
      </c>
      <c r="V26" s="17">
        <f t="shared" si="13"/>
        <v>0</v>
      </c>
      <c r="W26" s="17">
        <f t="shared" si="14"/>
        <v>0</v>
      </c>
      <c r="X26" s="17">
        <f t="shared" si="15"/>
        <v>0</v>
      </c>
      <c r="Y26" s="17">
        <f t="shared" si="16"/>
        <v>0</v>
      </c>
      <c r="Z26" s="20"/>
      <c r="AA26" s="20"/>
      <c r="AB26" s="84"/>
      <c r="AC26" s="20"/>
      <c r="AD26" s="20"/>
      <c r="AE26" s="20"/>
      <c r="AF26" s="20"/>
      <c r="AG26" s="20"/>
      <c r="AH26" s="20"/>
      <c r="AI26" s="20"/>
      <c r="AJ26" s="20"/>
      <c r="AK26" s="20"/>
      <c r="AL26" s="18">
        <f t="shared" si="17"/>
        <v>940</v>
      </c>
      <c r="AM26" s="18">
        <f t="shared" si="18"/>
        <v>0</v>
      </c>
      <c r="AN26" s="18">
        <f t="shared" si="19"/>
        <v>0</v>
      </c>
      <c r="AO26" s="18">
        <f t="shared" si="20"/>
        <v>0</v>
      </c>
      <c r="AP26" s="19">
        <f t="shared" si="11"/>
        <v>47</v>
      </c>
    </row>
    <row r="27" spans="1:42" ht="15.75" x14ac:dyDescent="0.25">
      <c r="A27" s="16">
        <v>46135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17">
        <f t="shared" si="2"/>
        <v>940</v>
      </c>
      <c r="O27" s="17">
        <f t="shared" si="12"/>
        <v>0</v>
      </c>
      <c r="P27" s="17">
        <f t="shared" si="3"/>
        <v>0</v>
      </c>
      <c r="Q27" s="17">
        <f t="shared" si="4"/>
        <v>0</v>
      </c>
      <c r="R27" s="17">
        <f t="shared" si="5"/>
        <v>0</v>
      </c>
      <c r="S27" s="17">
        <f t="shared" si="6"/>
        <v>0</v>
      </c>
      <c r="T27" s="17">
        <f t="shared" si="7"/>
        <v>0</v>
      </c>
      <c r="U27" s="17">
        <f t="shared" si="8"/>
        <v>0</v>
      </c>
      <c r="V27" s="17">
        <f t="shared" si="13"/>
        <v>0</v>
      </c>
      <c r="W27" s="17">
        <f t="shared" si="14"/>
        <v>0</v>
      </c>
      <c r="X27" s="17">
        <f t="shared" si="15"/>
        <v>0</v>
      </c>
      <c r="Y27" s="17">
        <f t="shared" si="16"/>
        <v>0</v>
      </c>
      <c r="Z27" s="20"/>
      <c r="AA27" s="20"/>
      <c r="AB27" s="84"/>
      <c r="AC27" s="20"/>
      <c r="AD27" s="20"/>
      <c r="AE27" s="20"/>
      <c r="AF27" s="20"/>
      <c r="AG27" s="20"/>
      <c r="AH27" s="20"/>
      <c r="AI27" s="20"/>
      <c r="AJ27" s="20"/>
      <c r="AK27" s="20"/>
      <c r="AL27" s="18">
        <f t="shared" si="17"/>
        <v>940</v>
      </c>
      <c r="AM27" s="18">
        <f t="shared" si="18"/>
        <v>0</v>
      </c>
      <c r="AN27" s="18">
        <f t="shared" si="19"/>
        <v>0</v>
      </c>
      <c r="AO27" s="18">
        <f t="shared" si="20"/>
        <v>0</v>
      </c>
      <c r="AP27" s="19">
        <f t="shared" si="11"/>
        <v>47</v>
      </c>
    </row>
    <row r="28" spans="1:42" ht="15.75" x14ac:dyDescent="0.25">
      <c r="A28" s="16">
        <v>46136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17">
        <f t="shared" si="2"/>
        <v>940</v>
      </c>
      <c r="O28" s="17">
        <f t="shared" si="12"/>
        <v>0</v>
      </c>
      <c r="P28" s="17">
        <f t="shared" si="3"/>
        <v>0</v>
      </c>
      <c r="Q28" s="17">
        <f t="shared" si="4"/>
        <v>0</v>
      </c>
      <c r="R28" s="17">
        <f t="shared" si="5"/>
        <v>0</v>
      </c>
      <c r="S28" s="17">
        <f t="shared" si="6"/>
        <v>0</v>
      </c>
      <c r="T28" s="17">
        <f t="shared" si="7"/>
        <v>0</v>
      </c>
      <c r="U28" s="17">
        <f t="shared" si="8"/>
        <v>0</v>
      </c>
      <c r="V28" s="17">
        <f t="shared" si="13"/>
        <v>0</v>
      </c>
      <c r="W28" s="17">
        <f t="shared" si="14"/>
        <v>0</v>
      </c>
      <c r="X28" s="17">
        <f t="shared" si="15"/>
        <v>0</v>
      </c>
      <c r="Y28" s="17">
        <f t="shared" si="16"/>
        <v>0</v>
      </c>
      <c r="Z28" s="20">
        <v>870</v>
      </c>
      <c r="AA28" s="20"/>
      <c r="AB28" s="84"/>
      <c r="AC28" s="20"/>
      <c r="AD28" s="20"/>
      <c r="AE28" s="20"/>
      <c r="AF28" s="20"/>
      <c r="AG28" s="20"/>
      <c r="AH28" s="20"/>
      <c r="AI28" s="20"/>
      <c r="AJ28" s="20"/>
      <c r="AK28" s="20"/>
      <c r="AL28" s="18">
        <f t="shared" si="17"/>
        <v>940</v>
      </c>
      <c r="AM28" s="18">
        <f t="shared" si="18"/>
        <v>0</v>
      </c>
      <c r="AN28" s="18">
        <f t="shared" si="19"/>
        <v>0</v>
      </c>
      <c r="AO28" s="18">
        <f t="shared" si="20"/>
        <v>0</v>
      </c>
      <c r="AP28" s="19">
        <f t="shared" si="11"/>
        <v>47</v>
      </c>
    </row>
    <row r="29" spans="1:42" ht="15.75" x14ac:dyDescent="0.25">
      <c r="A29" s="16">
        <v>46137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17">
        <f t="shared" si="2"/>
        <v>70</v>
      </c>
      <c r="O29" s="17">
        <f t="shared" si="12"/>
        <v>0</v>
      </c>
      <c r="P29" s="17">
        <f t="shared" si="3"/>
        <v>0</v>
      </c>
      <c r="Q29" s="17">
        <f t="shared" si="4"/>
        <v>0</v>
      </c>
      <c r="R29" s="17">
        <f t="shared" si="5"/>
        <v>0</v>
      </c>
      <c r="S29" s="17">
        <f t="shared" si="6"/>
        <v>0</v>
      </c>
      <c r="T29" s="17">
        <f t="shared" si="7"/>
        <v>0</v>
      </c>
      <c r="U29" s="17">
        <f t="shared" si="8"/>
        <v>0</v>
      </c>
      <c r="V29" s="17">
        <f t="shared" si="13"/>
        <v>0</v>
      </c>
      <c r="W29" s="17">
        <f t="shared" si="14"/>
        <v>0</v>
      </c>
      <c r="X29" s="17">
        <f t="shared" si="15"/>
        <v>0</v>
      </c>
      <c r="Y29" s="17">
        <f t="shared" si="16"/>
        <v>0</v>
      </c>
      <c r="Z29" s="20"/>
      <c r="AA29" s="20"/>
      <c r="AB29" s="84"/>
      <c r="AC29" s="20"/>
      <c r="AD29" s="20"/>
      <c r="AE29" s="20"/>
      <c r="AF29" s="20"/>
      <c r="AG29" s="20"/>
      <c r="AH29" s="20"/>
      <c r="AI29" s="20"/>
      <c r="AJ29" s="20"/>
      <c r="AK29" s="20"/>
      <c r="AL29" s="18">
        <f t="shared" si="17"/>
        <v>70</v>
      </c>
      <c r="AM29" s="18">
        <f t="shared" si="18"/>
        <v>0</v>
      </c>
      <c r="AN29" s="18">
        <f t="shared" si="19"/>
        <v>0</v>
      </c>
      <c r="AO29" s="18">
        <f t="shared" si="20"/>
        <v>0</v>
      </c>
      <c r="AP29" s="19">
        <f t="shared" si="11"/>
        <v>3.5</v>
      </c>
    </row>
    <row r="30" spans="1:42" ht="15.75" x14ac:dyDescent="0.25">
      <c r="A30" s="16">
        <v>46138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17">
        <f t="shared" si="2"/>
        <v>70</v>
      </c>
      <c r="O30" s="17">
        <f t="shared" si="12"/>
        <v>0</v>
      </c>
      <c r="P30" s="17">
        <f t="shared" si="3"/>
        <v>0</v>
      </c>
      <c r="Q30" s="17">
        <f t="shared" si="4"/>
        <v>0</v>
      </c>
      <c r="R30" s="17">
        <f t="shared" si="5"/>
        <v>0</v>
      </c>
      <c r="S30" s="17">
        <f t="shared" si="6"/>
        <v>0</v>
      </c>
      <c r="T30" s="17">
        <f t="shared" si="7"/>
        <v>0</v>
      </c>
      <c r="U30" s="17">
        <f t="shared" si="8"/>
        <v>0</v>
      </c>
      <c r="V30" s="17">
        <f t="shared" si="13"/>
        <v>0</v>
      </c>
      <c r="W30" s="17">
        <f t="shared" si="14"/>
        <v>0</v>
      </c>
      <c r="X30" s="17">
        <f t="shared" si="15"/>
        <v>0</v>
      </c>
      <c r="Y30" s="17">
        <f t="shared" si="16"/>
        <v>0</v>
      </c>
      <c r="Z30" s="20"/>
      <c r="AA30" s="20"/>
      <c r="AB30" s="84"/>
      <c r="AC30" s="20"/>
      <c r="AD30" s="20"/>
      <c r="AE30" s="20"/>
      <c r="AF30" s="20"/>
      <c r="AG30" s="20"/>
      <c r="AH30" s="20"/>
      <c r="AI30" s="20"/>
      <c r="AJ30" s="20"/>
      <c r="AK30" s="20"/>
      <c r="AL30" s="18">
        <f t="shared" si="17"/>
        <v>70</v>
      </c>
      <c r="AM30" s="18">
        <f t="shared" si="18"/>
        <v>0</v>
      </c>
      <c r="AN30" s="18">
        <f t="shared" si="19"/>
        <v>0</v>
      </c>
      <c r="AO30" s="18">
        <f t="shared" si="20"/>
        <v>0</v>
      </c>
      <c r="AP30" s="19">
        <f t="shared" si="11"/>
        <v>3.5</v>
      </c>
    </row>
    <row r="31" spans="1:42" ht="15.75" x14ac:dyDescent="0.25">
      <c r="A31" s="16">
        <v>46139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17">
        <f t="shared" si="2"/>
        <v>70</v>
      </c>
      <c r="O31" s="17">
        <f t="shared" si="12"/>
        <v>0</v>
      </c>
      <c r="P31" s="17">
        <f t="shared" si="3"/>
        <v>0</v>
      </c>
      <c r="Q31" s="17">
        <f t="shared" si="4"/>
        <v>0</v>
      </c>
      <c r="R31" s="17">
        <f t="shared" si="5"/>
        <v>0</v>
      </c>
      <c r="S31" s="17">
        <f t="shared" si="6"/>
        <v>0</v>
      </c>
      <c r="T31" s="17">
        <f t="shared" si="7"/>
        <v>0</v>
      </c>
      <c r="U31" s="17">
        <f t="shared" si="8"/>
        <v>0</v>
      </c>
      <c r="V31" s="17">
        <f t="shared" si="13"/>
        <v>0</v>
      </c>
      <c r="W31" s="17">
        <f t="shared" si="14"/>
        <v>0</v>
      </c>
      <c r="X31" s="17">
        <f t="shared" si="15"/>
        <v>0</v>
      </c>
      <c r="Y31" s="17">
        <f t="shared" si="16"/>
        <v>0</v>
      </c>
      <c r="Z31" s="20"/>
      <c r="AA31" s="20"/>
      <c r="AB31" s="84"/>
      <c r="AC31" s="20"/>
      <c r="AD31" s="20"/>
      <c r="AE31" s="20"/>
      <c r="AF31" s="20"/>
      <c r="AG31" s="20"/>
      <c r="AH31" s="20"/>
      <c r="AI31" s="20"/>
      <c r="AJ31" s="20"/>
      <c r="AK31" s="20"/>
      <c r="AL31" s="18">
        <f t="shared" si="17"/>
        <v>70</v>
      </c>
      <c r="AM31" s="18">
        <f t="shared" si="18"/>
        <v>0</v>
      </c>
      <c r="AN31" s="18">
        <f t="shared" si="19"/>
        <v>0</v>
      </c>
      <c r="AO31" s="18">
        <f t="shared" si="20"/>
        <v>0</v>
      </c>
      <c r="AP31" s="19">
        <f t="shared" si="11"/>
        <v>3.5</v>
      </c>
    </row>
    <row r="32" spans="1:42" ht="15.75" x14ac:dyDescent="0.25">
      <c r="A32" s="16">
        <v>46140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17">
        <f t="shared" si="2"/>
        <v>70</v>
      </c>
      <c r="O32" s="17">
        <f t="shared" si="12"/>
        <v>0</v>
      </c>
      <c r="P32" s="17">
        <f t="shared" si="3"/>
        <v>0</v>
      </c>
      <c r="Q32" s="17">
        <f t="shared" si="4"/>
        <v>0</v>
      </c>
      <c r="R32" s="17">
        <f t="shared" si="5"/>
        <v>0</v>
      </c>
      <c r="S32" s="17">
        <f t="shared" si="6"/>
        <v>0</v>
      </c>
      <c r="T32" s="17">
        <f t="shared" si="7"/>
        <v>0</v>
      </c>
      <c r="U32" s="17">
        <f t="shared" si="8"/>
        <v>0</v>
      </c>
      <c r="V32" s="17">
        <f t="shared" si="13"/>
        <v>0</v>
      </c>
      <c r="W32" s="17">
        <f t="shared" si="14"/>
        <v>0</v>
      </c>
      <c r="X32" s="17">
        <f t="shared" si="15"/>
        <v>0</v>
      </c>
      <c r="Y32" s="17">
        <f t="shared" si="16"/>
        <v>0</v>
      </c>
      <c r="Z32" s="20"/>
      <c r="AA32" s="20"/>
      <c r="AB32" s="84"/>
      <c r="AC32" s="20"/>
      <c r="AD32" s="20"/>
      <c r="AE32" s="20"/>
      <c r="AF32" s="20"/>
      <c r="AG32" s="20"/>
      <c r="AH32" s="20"/>
      <c r="AI32" s="20"/>
      <c r="AJ32" s="20"/>
      <c r="AK32" s="20"/>
      <c r="AL32" s="18">
        <f t="shared" si="17"/>
        <v>70</v>
      </c>
      <c r="AM32" s="18">
        <f t="shared" si="18"/>
        <v>0</v>
      </c>
      <c r="AN32" s="18">
        <f t="shared" si="19"/>
        <v>0</v>
      </c>
      <c r="AO32" s="18">
        <f t="shared" si="20"/>
        <v>0</v>
      </c>
      <c r="AP32" s="19">
        <f t="shared" si="11"/>
        <v>3.5</v>
      </c>
    </row>
    <row r="33" spans="1:42" ht="15.75" x14ac:dyDescent="0.25">
      <c r="A33" s="16">
        <v>46141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17">
        <f t="shared" si="2"/>
        <v>70</v>
      </c>
      <c r="O33" s="17">
        <f t="shared" si="12"/>
        <v>0</v>
      </c>
      <c r="P33" s="17">
        <f t="shared" si="3"/>
        <v>0</v>
      </c>
      <c r="Q33" s="17">
        <f t="shared" si="4"/>
        <v>0</v>
      </c>
      <c r="R33" s="17">
        <f t="shared" si="5"/>
        <v>0</v>
      </c>
      <c r="S33" s="17">
        <f t="shared" si="6"/>
        <v>0</v>
      </c>
      <c r="T33" s="17">
        <f t="shared" si="7"/>
        <v>0</v>
      </c>
      <c r="U33" s="17">
        <f t="shared" si="8"/>
        <v>0</v>
      </c>
      <c r="V33" s="17">
        <f t="shared" si="13"/>
        <v>0</v>
      </c>
      <c r="W33" s="17">
        <f t="shared" si="14"/>
        <v>0</v>
      </c>
      <c r="X33" s="17">
        <f t="shared" si="15"/>
        <v>0</v>
      </c>
      <c r="Y33" s="17">
        <f t="shared" si="16"/>
        <v>0</v>
      </c>
      <c r="Z33" s="20"/>
      <c r="AA33" s="20"/>
      <c r="AB33" s="84"/>
      <c r="AC33" s="20"/>
      <c r="AD33" s="20"/>
      <c r="AE33" s="20"/>
      <c r="AF33" s="20"/>
      <c r="AG33" s="20"/>
      <c r="AH33" s="20"/>
      <c r="AI33" s="20"/>
      <c r="AJ33" s="20"/>
      <c r="AK33" s="20"/>
      <c r="AL33" s="18">
        <f t="shared" si="17"/>
        <v>70</v>
      </c>
      <c r="AM33" s="18">
        <f t="shared" si="18"/>
        <v>0</v>
      </c>
      <c r="AN33" s="18">
        <f t="shared" si="19"/>
        <v>0</v>
      </c>
      <c r="AO33" s="18">
        <f t="shared" si="20"/>
        <v>0</v>
      </c>
      <c r="AP33" s="19">
        <f t="shared" si="11"/>
        <v>3.5</v>
      </c>
    </row>
    <row r="34" spans="1:42" ht="15.75" x14ac:dyDescent="0.25">
      <c r="A34" s="16">
        <v>46142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17">
        <f t="shared" si="2"/>
        <v>70</v>
      </c>
      <c r="O34" s="17">
        <f t="shared" si="12"/>
        <v>0</v>
      </c>
      <c r="P34" s="17">
        <f t="shared" si="3"/>
        <v>0</v>
      </c>
      <c r="Q34" s="17">
        <f t="shared" si="4"/>
        <v>0</v>
      </c>
      <c r="R34" s="17">
        <f t="shared" si="5"/>
        <v>0</v>
      </c>
      <c r="S34" s="17">
        <f t="shared" si="6"/>
        <v>0</v>
      </c>
      <c r="T34" s="17">
        <f t="shared" si="7"/>
        <v>0</v>
      </c>
      <c r="U34" s="17">
        <f t="shared" si="8"/>
        <v>0</v>
      </c>
      <c r="V34" s="17">
        <f t="shared" si="13"/>
        <v>0</v>
      </c>
      <c r="W34" s="17">
        <f t="shared" si="14"/>
        <v>0</v>
      </c>
      <c r="X34" s="17">
        <f t="shared" si="15"/>
        <v>0</v>
      </c>
      <c r="Y34" s="17">
        <f t="shared" si="16"/>
        <v>0</v>
      </c>
      <c r="Z34" s="20"/>
      <c r="AA34" s="20"/>
      <c r="AB34" s="84"/>
      <c r="AC34" s="20"/>
      <c r="AD34" s="20"/>
      <c r="AE34" s="20"/>
      <c r="AF34" s="20"/>
      <c r="AG34" s="20"/>
      <c r="AH34" s="20"/>
      <c r="AI34" s="20"/>
      <c r="AJ34" s="20"/>
      <c r="AK34" s="20"/>
      <c r="AL34" s="18">
        <f t="shared" si="17"/>
        <v>70</v>
      </c>
      <c r="AM34" s="18">
        <f t="shared" si="18"/>
        <v>0</v>
      </c>
      <c r="AN34" s="18">
        <f t="shared" si="19"/>
        <v>0</v>
      </c>
      <c r="AO34" s="18">
        <f t="shared" si="20"/>
        <v>0</v>
      </c>
      <c r="AP34" s="19">
        <f t="shared" si="11"/>
        <v>3.5</v>
      </c>
    </row>
    <row r="35" spans="1:42" ht="15.75" x14ac:dyDescent="0.25">
      <c r="A35" s="16">
        <v>46143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17">
        <f t="shared" si="2"/>
        <v>70</v>
      </c>
      <c r="O35" s="17">
        <f t="shared" si="12"/>
        <v>0</v>
      </c>
      <c r="P35" s="17">
        <f t="shared" si="3"/>
        <v>0</v>
      </c>
      <c r="Q35" s="17">
        <f t="shared" si="4"/>
        <v>0</v>
      </c>
      <c r="R35" s="17">
        <f t="shared" si="5"/>
        <v>0</v>
      </c>
      <c r="S35" s="17">
        <f t="shared" si="6"/>
        <v>0</v>
      </c>
      <c r="T35" s="17">
        <f t="shared" si="7"/>
        <v>0</v>
      </c>
      <c r="U35" s="17">
        <f t="shared" si="8"/>
        <v>0</v>
      </c>
      <c r="V35" s="17">
        <f t="shared" si="13"/>
        <v>0</v>
      </c>
      <c r="W35" s="17">
        <f t="shared" si="14"/>
        <v>0</v>
      </c>
      <c r="X35" s="17">
        <f t="shared" si="15"/>
        <v>0</v>
      </c>
      <c r="Y35" s="17">
        <f t="shared" si="16"/>
        <v>0</v>
      </c>
      <c r="Z35" s="20"/>
      <c r="AA35" s="20"/>
      <c r="AB35" s="84"/>
      <c r="AC35" s="20"/>
      <c r="AD35" s="20"/>
      <c r="AE35" s="20"/>
      <c r="AF35" s="20"/>
      <c r="AG35" s="20"/>
      <c r="AH35" s="20"/>
      <c r="AI35" s="20"/>
      <c r="AJ35" s="20"/>
      <c r="AK35" s="20"/>
      <c r="AL35" s="18">
        <f t="shared" si="17"/>
        <v>70</v>
      </c>
      <c r="AM35" s="18">
        <f t="shared" si="18"/>
        <v>0</v>
      </c>
      <c r="AN35" s="18">
        <f t="shared" si="19"/>
        <v>0</v>
      </c>
      <c r="AO35" s="18">
        <f t="shared" si="20"/>
        <v>0</v>
      </c>
      <c r="AP35" s="19">
        <f t="shared" si="11"/>
        <v>3.5</v>
      </c>
    </row>
    <row r="36" spans="1:42" ht="15.75" x14ac:dyDescent="0.25">
      <c r="A36" s="16">
        <v>46144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17">
        <f t="shared" si="2"/>
        <v>70</v>
      </c>
      <c r="O36" s="17">
        <f t="shared" si="12"/>
        <v>0</v>
      </c>
      <c r="P36" s="17">
        <f t="shared" si="3"/>
        <v>0</v>
      </c>
      <c r="Q36" s="17">
        <f t="shared" si="4"/>
        <v>0</v>
      </c>
      <c r="R36" s="17">
        <f t="shared" si="5"/>
        <v>0</v>
      </c>
      <c r="S36" s="17">
        <f t="shared" si="6"/>
        <v>0</v>
      </c>
      <c r="T36" s="17">
        <f t="shared" si="7"/>
        <v>0</v>
      </c>
      <c r="U36" s="17">
        <f t="shared" si="8"/>
        <v>0</v>
      </c>
      <c r="V36" s="17">
        <f t="shared" si="13"/>
        <v>0</v>
      </c>
      <c r="W36" s="17">
        <f t="shared" si="14"/>
        <v>0</v>
      </c>
      <c r="X36" s="17">
        <f t="shared" si="15"/>
        <v>0</v>
      </c>
      <c r="Y36" s="17">
        <f t="shared" si="16"/>
        <v>0</v>
      </c>
      <c r="Z36" s="20"/>
      <c r="AA36" s="20"/>
      <c r="AB36" s="84"/>
      <c r="AC36" s="20"/>
      <c r="AD36" s="20"/>
      <c r="AE36" s="20"/>
      <c r="AF36" s="20"/>
      <c r="AG36" s="20"/>
      <c r="AH36" s="20"/>
      <c r="AI36" s="20"/>
      <c r="AJ36" s="20"/>
      <c r="AK36" s="20"/>
      <c r="AL36" s="18">
        <f t="shared" si="17"/>
        <v>70</v>
      </c>
      <c r="AM36" s="18">
        <f t="shared" si="18"/>
        <v>0</v>
      </c>
      <c r="AN36" s="18">
        <f t="shared" si="19"/>
        <v>0</v>
      </c>
      <c r="AO36" s="18">
        <f t="shared" si="20"/>
        <v>0</v>
      </c>
      <c r="AP36" s="19">
        <f t="shared" ref="AP36" si="21">(AL36+AM36+AN36+AO36)/(20)</f>
        <v>3.5</v>
      </c>
    </row>
    <row r="37" spans="1:42" ht="15.75" x14ac:dyDescent="0.25">
      <c r="A37" s="16">
        <v>46145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17">
        <f t="shared" si="2"/>
        <v>70</v>
      </c>
      <c r="O37" s="17">
        <f t="shared" si="12"/>
        <v>0</v>
      </c>
      <c r="P37" s="17">
        <f t="shared" si="3"/>
        <v>0</v>
      </c>
      <c r="Q37" s="17">
        <f t="shared" si="4"/>
        <v>0</v>
      </c>
      <c r="R37" s="17">
        <f t="shared" si="5"/>
        <v>0</v>
      </c>
      <c r="S37" s="17">
        <f t="shared" si="6"/>
        <v>0</v>
      </c>
      <c r="T37" s="17">
        <f t="shared" si="7"/>
        <v>0</v>
      </c>
      <c r="U37" s="17">
        <f t="shared" si="8"/>
        <v>0</v>
      </c>
      <c r="V37" s="17">
        <f t="shared" si="13"/>
        <v>0</v>
      </c>
      <c r="W37" s="17">
        <f t="shared" si="14"/>
        <v>0</v>
      </c>
      <c r="X37" s="17">
        <f t="shared" si="15"/>
        <v>0</v>
      </c>
      <c r="Y37" s="17">
        <f t="shared" si="16"/>
        <v>0</v>
      </c>
      <c r="Z37" s="20"/>
      <c r="AA37" s="20"/>
      <c r="AB37" s="84"/>
      <c r="AC37" s="20"/>
      <c r="AD37" s="20"/>
      <c r="AE37" s="20"/>
      <c r="AF37" s="20"/>
      <c r="AG37" s="20"/>
      <c r="AH37" s="20"/>
      <c r="AI37" s="20"/>
      <c r="AJ37" s="20"/>
      <c r="AK37" s="20"/>
      <c r="AL37" s="18">
        <f t="shared" si="17"/>
        <v>70</v>
      </c>
      <c r="AM37" s="18">
        <f t="shared" si="18"/>
        <v>0</v>
      </c>
      <c r="AN37" s="18">
        <f t="shared" si="19"/>
        <v>0</v>
      </c>
      <c r="AO37" s="18">
        <f t="shared" si="20"/>
        <v>0</v>
      </c>
      <c r="AP37" s="19">
        <f t="shared" ref="AP37" si="22">(AL37+AM37+AN37+AO37)/(20)</f>
        <v>3.5</v>
      </c>
    </row>
  </sheetData>
  <mergeCells count="15">
    <mergeCell ref="A2:A3"/>
    <mergeCell ref="B2:E2"/>
    <mergeCell ref="F2:I2"/>
    <mergeCell ref="N2:Q2"/>
    <mergeCell ref="B1:I1"/>
    <mergeCell ref="N1:U1"/>
    <mergeCell ref="J2:M2"/>
    <mergeCell ref="Z1:AG1"/>
    <mergeCell ref="AL1:AO2"/>
    <mergeCell ref="AP1:AP2"/>
    <mergeCell ref="R2:U2"/>
    <mergeCell ref="Z2:AC2"/>
    <mergeCell ref="AD2:AG2"/>
    <mergeCell ref="V2:Y2"/>
    <mergeCell ref="AH2:AK2"/>
  </mergeCells>
  <pageMargins left="0.7" right="0.7" top="0.75" bottom="0.75" header="0.3" footer="0.3"/>
  <pageSetup orientation="portrait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345"/>
  <sheetViews>
    <sheetView zoomScaleNormal="100" workbookViewId="0">
      <selection activeCell="O9" sqref="O9"/>
    </sheetView>
  </sheetViews>
  <sheetFormatPr defaultColWidth="6.85546875" defaultRowHeight="15" x14ac:dyDescent="0.25"/>
  <cols>
    <col min="1" max="1" width="8.42578125" bestFit="1" customWidth="1"/>
    <col min="2" max="2" width="31.42578125" bestFit="1" customWidth="1"/>
    <col min="3" max="3" width="27.28515625" bestFit="1" customWidth="1"/>
    <col min="4" max="4" width="28.28515625" bestFit="1" customWidth="1"/>
    <col min="5" max="5" width="2.140625" bestFit="1" customWidth="1"/>
    <col min="6" max="7" width="2.28515625" bestFit="1" customWidth="1"/>
    <col min="8" max="8" width="4.85546875" hidden="1" customWidth="1"/>
    <col min="9" max="9" width="5.28515625" bestFit="1" customWidth="1"/>
    <col min="10" max="10" width="5.85546875" style="86" bestFit="1" customWidth="1"/>
    <col min="11" max="11" width="5.5703125" style="73" customWidth="1"/>
    <col min="12" max="12" width="4.85546875" style="30" hidden="1" customWidth="1"/>
    <col min="13" max="13" width="6.5703125" bestFit="1" customWidth="1"/>
    <col min="14" max="14" width="12.7109375" bestFit="1" customWidth="1"/>
    <col min="15" max="15" width="7.42578125" bestFit="1" customWidth="1"/>
    <col min="16" max="16" width="11.28515625" bestFit="1" customWidth="1"/>
    <col min="17" max="17" width="16.5703125" bestFit="1" customWidth="1"/>
    <col min="18" max="18" width="7.140625" bestFit="1" customWidth="1"/>
  </cols>
  <sheetData>
    <row r="1" spans="1:15" x14ac:dyDescent="0.25">
      <c r="A1" s="107" t="s">
        <v>15</v>
      </c>
      <c r="B1" s="113" t="s">
        <v>20</v>
      </c>
      <c r="C1" s="115" t="s">
        <v>21</v>
      </c>
      <c r="D1" s="117" t="s">
        <v>22</v>
      </c>
      <c r="E1" s="119" t="s">
        <v>10</v>
      </c>
      <c r="F1" s="120"/>
      <c r="G1" s="120"/>
      <c r="H1" s="121"/>
      <c r="I1" s="122" t="s">
        <v>29</v>
      </c>
      <c r="J1" s="123"/>
      <c r="K1" s="123"/>
      <c r="L1" s="124"/>
      <c r="M1" s="107" t="s">
        <v>6</v>
      </c>
      <c r="N1" s="109" t="s">
        <v>23</v>
      </c>
      <c r="O1" s="111" t="s">
        <v>24</v>
      </c>
    </row>
    <row r="2" spans="1:15" ht="15.75" x14ac:dyDescent="0.25">
      <c r="A2" s="108"/>
      <c r="B2" s="114"/>
      <c r="C2" s="116"/>
      <c r="D2" s="118"/>
      <c r="E2" s="35" t="s">
        <v>16</v>
      </c>
      <c r="F2" s="46" t="s">
        <v>17</v>
      </c>
      <c r="G2" s="56" t="s">
        <v>44</v>
      </c>
      <c r="H2" s="14" t="s">
        <v>37</v>
      </c>
      <c r="I2" s="35" t="s">
        <v>40</v>
      </c>
      <c r="J2" s="47" t="s">
        <v>5</v>
      </c>
      <c r="K2" s="70" t="s">
        <v>50</v>
      </c>
      <c r="L2" s="14" t="s">
        <v>37</v>
      </c>
      <c r="M2" s="108"/>
      <c r="N2" s="110"/>
      <c r="O2" s="112"/>
    </row>
    <row r="3" spans="1:15" x14ac:dyDescent="0.25">
      <c r="A3" s="25">
        <v>46116</v>
      </c>
      <c r="B3" s="23" t="s">
        <v>137</v>
      </c>
      <c r="C3" s="22"/>
      <c r="D3" s="23" t="s">
        <v>126</v>
      </c>
      <c r="E3" s="22"/>
      <c r="F3" s="22"/>
      <c r="G3" s="22"/>
      <c r="H3" s="22"/>
      <c r="I3" s="22">
        <v>300</v>
      </c>
      <c r="J3" s="22"/>
      <c r="K3" s="71"/>
      <c r="L3" s="22"/>
      <c r="M3" s="21">
        <f t="shared" ref="M3:M10" si="0">-E3-F3-G3-H3+I3+J3+K3+L3</f>
        <v>300</v>
      </c>
      <c r="N3" s="23" t="s">
        <v>127</v>
      </c>
      <c r="O3" s="26" t="s">
        <v>128</v>
      </c>
    </row>
    <row r="4" spans="1:15" x14ac:dyDescent="0.25">
      <c r="A4" s="25">
        <v>46120</v>
      </c>
      <c r="B4" s="88" t="s">
        <v>129</v>
      </c>
      <c r="C4" s="22" t="s">
        <v>130</v>
      </c>
      <c r="D4" s="23" t="s">
        <v>131</v>
      </c>
      <c r="E4" s="22"/>
      <c r="F4" s="22"/>
      <c r="G4" s="22"/>
      <c r="H4" s="22"/>
      <c r="I4" s="22"/>
      <c r="J4" s="22">
        <v>840</v>
      </c>
      <c r="K4" s="71"/>
      <c r="L4" s="22"/>
      <c r="M4" s="21">
        <f t="shared" ref="M4" si="1">-E4-F4-G4-H4+I4+J4+K4+L4</f>
        <v>840</v>
      </c>
      <c r="N4" s="23" t="s">
        <v>132</v>
      </c>
      <c r="O4" s="26" t="s">
        <v>128</v>
      </c>
    </row>
    <row r="5" spans="1:15" x14ac:dyDescent="0.25">
      <c r="A5" s="25">
        <v>46127</v>
      </c>
      <c r="B5" s="23" t="s">
        <v>137</v>
      </c>
      <c r="C5" s="22"/>
      <c r="D5" s="23" t="s">
        <v>126</v>
      </c>
      <c r="E5" s="22"/>
      <c r="F5" s="22"/>
      <c r="G5" s="22"/>
      <c r="H5" s="22"/>
      <c r="I5" s="22">
        <v>640</v>
      </c>
      <c r="J5" s="22"/>
      <c r="K5" s="71"/>
      <c r="L5" s="22"/>
      <c r="M5" s="21">
        <f t="shared" ref="M5" si="2">-E5-F5-G5-H5+I5+J5+K5+L5</f>
        <v>640</v>
      </c>
      <c r="N5" s="23" t="s">
        <v>134</v>
      </c>
      <c r="O5" s="26" t="s">
        <v>128</v>
      </c>
    </row>
    <row r="6" spans="1:15" x14ac:dyDescent="0.25">
      <c r="A6" s="25">
        <v>46128</v>
      </c>
      <c r="B6" s="23" t="s">
        <v>129</v>
      </c>
      <c r="C6" s="22"/>
      <c r="D6" s="23" t="s">
        <v>135</v>
      </c>
      <c r="E6" s="22"/>
      <c r="F6" s="22"/>
      <c r="G6" s="22"/>
      <c r="H6" s="22"/>
      <c r="I6" s="22"/>
      <c r="J6" s="22">
        <v>840</v>
      </c>
      <c r="K6" s="71"/>
      <c r="L6" s="22"/>
      <c r="M6" s="21">
        <f t="shared" si="0"/>
        <v>840</v>
      </c>
      <c r="N6" s="23" t="s">
        <v>136</v>
      </c>
      <c r="O6" s="26" t="s">
        <v>128</v>
      </c>
    </row>
    <row r="7" spans="1:15" x14ac:dyDescent="0.25">
      <c r="A7" s="25">
        <v>46129</v>
      </c>
      <c r="B7" s="23" t="s">
        <v>137</v>
      </c>
      <c r="C7" s="22"/>
      <c r="D7" s="23" t="s">
        <v>126</v>
      </c>
      <c r="E7" s="22"/>
      <c r="F7" s="22"/>
      <c r="G7" s="22"/>
      <c r="H7" s="22"/>
      <c r="I7" s="22">
        <v>560</v>
      </c>
      <c r="J7" s="22"/>
      <c r="K7" s="71"/>
      <c r="L7" s="22"/>
      <c r="M7" s="21">
        <f t="shared" si="0"/>
        <v>560</v>
      </c>
      <c r="N7" s="23" t="s">
        <v>127</v>
      </c>
      <c r="O7" s="26" t="s">
        <v>128</v>
      </c>
    </row>
    <row r="8" spans="1:15" x14ac:dyDescent="0.25">
      <c r="A8" s="25">
        <v>46136</v>
      </c>
      <c r="B8" s="23" t="s">
        <v>137</v>
      </c>
      <c r="C8" s="22"/>
      <c r="D8" s="23" t="s">
        <v>126</v>
      </c>
      <c r="E8" s="22"/>
      <c r="F8" s="22"/>
      <c r="G8" s="22"/>
      <c r="H8" s="22"/>
      <c r="I8" s="22">
        <v>870</v>
      </c>
      <c r="J8" s="22"/>
      <c r="K8" s="71"/>
      <c r="L8" s="22"/>
      <c r="M8" s="21">
        <f t="shared" si="0"/>
        <v>870</v>
      </c>
      <c r="N8" s="23" t="s">
        <v>127</v>
      </c>
      <c r="O8" s="26" t="s">
        <v>128</v>
      </c>
    </row>
    <row r="9" spans="1:15" x14ac:dyDescent="0.25">
      <c r="A9" s="25"/>
      <c r="B9" s="23"/>
      <c r="C9" s="22"/>
      <c r="D9" s="23"/>
      <c r="E9" s="22"/>
      <c r="F9" s="22"/>
      <c r="G9" s="22"/>
      <c r="H9" s="22"/>
      <c r="I9" s="22"/>
      <c r="J9" s="22"/>
      <c r="K9" s="71"/>
      <c r="L9" s="22"/>
      <c r="M9" s="21">
        <f t="shared" si="0"/>
        <v>0</v>
      </c>
      <c r="N9" s="23"/>
      <c r="O9" s="26"/>
    </row>
    <row r="10" spans="1:15" x14ac:dyDescent="0.25">
      <c r="A10" s="25"/>
      <c r="B10" s="23"/>
      <c r="C10" s="22"/>
      <c r="D10" s="23"/>
      <c r="E10" s="22"/>
      <c r="F10" s="22"/>
      <c r="G10" s="22"/>
      <c r="H10" s="22"/>
      <c r="I10" s="22"/>
      <c r="J10" s="22"/>
      <c r="K10" s="71"/>
      <c r="L10" s="22"/>
      <c r="M10" s="21">
        <f t="shared" si="0"/>
        <v>0</v>
      </c>
      <c r="N10" s="23"/>
      <c r="O10" s="26"/>
    </row>
    <row r="11" spans="1:15" x14ac:dyDescent="0.25">
      <c r="A11" s="25"/>
      <c r="B11" s="23"/>
      <c r="C11" s="22"/>
      <c r="D11" s="23"/>
      <c r="E11" s="22"/>
      <c r="F11" s="22"/>
      <c r="G11" s="22"/>
      <c r="H11" s="22"/>
      <c r="I11" s="22"/>
      <c r="J11" s="22"/>
      <c r="K11" s="71"/>
      <c r="L11" s="22"/>
      <c r="M11" s="21">
        <f t="shared" ref="M11:M16" si="3">-E11-F11-G11-H11+I11+J11+K11+L11</f>
        <v>0</v>
      </c>
      <c r="N11" s="23"/>
      <c r="O11" s="26"/>
    </row>
    <row r="12" spans="1:15" x14ac:dyDescent="0.25">
      <c r="A12" s="25"/>
      <c r="B12" s="23"/>
      <c r="C12" s="22"/>
      <c r="D12" s="23"/>
      <c r="E12" s="22"/>
      <c r="F12" s="22"/>
      <c r="G12" s="22"/>
      <c r="H12" s="22"/>
      <c r="I12" s="22"/>
      <c r="J12" s="22"/>
      <c r="K12" s="71"/>
      <c r="L12" s="22"/>
      <c r="M12" s="21">
        <f t="shared" si="3"/>
        <v>0</v>
      </c>
      <c r="N12" s="23"/>
      <c r="O12" s="26"/>
    </row>
    <row r="13" spans="1:15" x14ac:dyDescent="0.25">
      <c r="A13" s="25"/>
      <c r="B13" s="23"/>
      <c r="C13" s="22"/>
      <c r="D13" s="23"/>
      <c r="E13" s="22"/>
      <c r="F13" s="22"/>
      <c r="G13" s="22"/>
      <c r="H13" s="22"/>
      <c r="I13" s="22"/>
      <c r="J13" s="22"/>
      <c r="K13" s="71"/>
      <c r="L13" s="22"/>
      <c r="M13" s="21">
        <f t="shared" si="3"/>
        <v>0</v>
      </c>
      <c r="N13" s="23"/>
      <c r="O13" s="26"/>
    </row>
    <row r="14" spans="1:15" x14ac:dyDescent="0.25">
      <c r="A14" s="25"/>
      <c r="B14" s="23"/>
      <c r="C14" s="22"/>
      <c r="D14" s="23"/>
      <c r="E14" s="22"/>
      <c r="F14" s="22"/>
      <c r="G14" s="22"/>
      <c r="H14" s="22"/>
      <c r="I14" s="22"/>
      <c r="J14" s="22"/>
      <c r="K14" s="71"/>
      <c r="L14" s="22"/>
      <c r="M14" s="21">
        <f t="shared" ref="M14" si="4">-E14-F14-G14-H14+I14+J14+K14+L14</f>
        <v>0</v>
      </c>
      <c r="N14" s="23"/>
      <c r="O14" s="26"/>
    </row>
    <row r="15" spans="1:15" x14ac:dyDescent="0.25">
      <c r="A15" s="25"/>
      <c r="B15" s="23"/>
      <c r="C15" s="22"/>
      <c r="D15" s="23"/>
      <c r="E15" s="22"/>
      <c r="F15" s="22"/>
      <c r="G15" s="22"/>
      <c r="H15" s="22"/>
      <c r="I15" s="22"/>
      <c r="J15" s="22"/>
      <c r="K15" s="71"/>
      <c r="L15" s="22"/>
      <c r="M15" s="21">
        <f t="shared" si="3"/>
        <v>0</v>
      </c>
      <c r="N15" s="23"/>
      <c r="O15" s="26"/>
    </row>
    <row r="16" spans="1:15" x14ac:dyDescent="0.25">
      <c r="A16" s="25"/>
      <c r="B16" s="23"/>
      <c r="C16" s="22"/>
      <c r="D16" s="23"/>
      <c r="E16" s="22"/>
      <c r="F16" s="22"/>
      <c r="G16" s="22"/>
      <c r="H16" s="22"/>
      <c r="I16" s="22"/>
      <c r="J16" s="22"/>
      <c r="K16" s="71"/>
      <c r="L16" s="22"/>
      <c r="M16" s="21">
        <f t="shared" si="3"/>
        <v>0</v>
      </c>
      <c r="N16" s="23"/>
      <c r="O16" s="26"/>
    </row>
    <row r="17" spans="1:15" x14ac:dyDescent="0.25">
      <c r="A17" s="25"/>
      <c r="B17" s="23"/>
      <c r="C17" s="22"/>
      <c r="D17" s="23"/>
      <c r="E17" s="22"/>
      <c r="F17" s="22"/>
      <c r="G17" s="22"/>
      <c r="H17" s="22"/>
      <c r="I17" s="22"/>
      <c r="J17" s="22"/>
      <c r="K17" s="71"/>
      <c r="L17" s="22"/>
      <c r="M17" s="21">
        <f t="shared" ref="M17:M80" si="5">-E17-F17-G17-H17+I17+J17+K17+L17</f>
        <v>0</v>
      </c>
      <c r="N17" s="23"/>
      <c r="O17" s="26"/>
    </row>
    <row r="18" spans="1:15" x14ac:dyDescent="0.25">
      <c r="A18" s="25"/>
      <c r="B18" s="23"/>
      <c r="C18" s="22"/>
      <c r="D18" s="23"/>
      <c r="E18" s="22"/>
      <c r="F18" s="22"/>
      <c r="G18" s="22"/>
      <c r="H18" s="22"/>
      <c r="I18" s="22"/>
      <c r="J18" s="22"/>
      <c r="K18" s="71"/>
      <c r="L18" s="22"/>
      <c r="M18" s="21">
        <f t="shared" si="5"/>
        <v>0</v>
      </c>
      <c r="N18" s="23"/>
      <c r="O18" s="26"/>
    </row>
    <row r="19" spans="1:15" x14ac:dyDescent="0.25">
      <c r="A19" s="25"/>
      <c r="B19" s="23"/>
      <c r="C19" s="22"/>
      <c r="D19" s="23"/>
      <c r="E19" s="22"/>
      <c r="F19" s="22"/>
      <c r="G19" s="22"/>
      <c r="H19" s="22"/>
      <c r="I19" s="22"/>
      <c r="J19" s="22"/>
      <c r="K19" s="71"/>
      <c r="L19" s="22"/>
      <c r="M19" s="21">
        <f t="shared" si="5"/>
        <v>0</v>
      </c>
      <c r="N19" s="23"/>
      <c r="O19" s="26"/>
    </row>
    <row r="20" spans="1:15" x14ac:dyDescent="0.25">
      <c r="A20" s="25"/>
      <c r="B20" s="23"/>
      <c r="C20" s="22"/>
      <c r="D20" s="23"/>
      <c r="E20" s="22"/>
      <c r="F20" s="22"/>
      <c r="G20" s="22"/>
      <c r="H20" s="22"/>
      <c r="I20" s="22"/>
      <c r="J20" s="22"/>
      <c r="K20" s="71"/>
      <c r="L20" s="22"/>
      <c r="M20" s="21">
        <f t="shared" si="5"/>
        <v>0</v>
      </c>
      <c r="N20" s="23"/>
      <c r="O20" s="26"/>
    </row>
    <row r="21" spans="1:15" x14ac:dyDescent="0.25">
      <c r="A21" s="25"/>
      <c r="B21" s="23"/>
      <c r="C21" s="22"/>
      <c r="D21" s="23"/>
      <c r="E21" s="22"/>
      <c r="F21" s="22"/>
      <c r="G21" s="22"/>
      <c r="H21" s="22"/>
      <c r="I21" s="22"/>
      <c r="J21" s="22"/>
      <c r="K21" s="71"/>
      <c r="L21" s="22"/>
      <c r="M21" s="21">
        <f t="shared" si="5"/>
        <v>0</v>
      </c>
      <c r="N21" s="23"/>
      <c r="O21" s="26"/>
    </row>
    <row r="22" spans="1:15" x14ac:dyDescent="0.25">
      <c r="A22" s="25"/>
      <c r="B22" s="23"/>
      <c r="C22" s="22"/>
      <c r="D22" s="23"/>
      <c r="E22" s="22"/>
      <c r="F22" s="22"/>
      <c r="G22" s="22"/>
      <c r="H22" s="22"/>
      <c r="I22" s="22"/>
      <c r="J22" s="22"/>
      <c r="K22" s="71"/>
      <c r="L22" s="22"/>
      <c r="M22" s="21">
        <f t="shared" si="5"/>
        <v>0</v>
      </c>
      <c r="N22" s="23"/>
      <c r="O22" s="26"/>
    </row>
    <row r="23" spans="1:15" x14ac:dyDescent="0.25">
      <c r="A23" s="25"/>
      <c r="B23" s="23"/>
      <c r="C23" s="22"/>
      <c r="D23" s="23"/>
      <c r="E23" s="22"/>
      <c r="F23" s="22"/>
      <c r="G23" s="22"/>
      <c r="H23" s="22"/>
      <c r="I23" s="22"/>
      <c r="J23" s="22"/>
      <c r="K23" s="71"/>
      <c r="L23" s="22"/>
      <c r="M23" s="21">
        <f t="shared" si="5"/>
        <v>0</v>
      </c>
      <c r="N23" s="23"/>
      <c r="O23" s="26"/>
    </row>
    <row r="24" spans="1:15" x14ac:dyDescent="0.25">
      <c r="A24" s="25"/>
      <c r="B24" s="23"/>
      <c r="C24" s="22"/>
      <c r="D24" s="23"/>
      <c r="E24" s="22"/>
      <c r="F24" s="22"/>
      <c r="G24" s="22"/>
      <c r="H24" s="22"/>
      <c r="I24" s="22"/>
      <c r="J24" s="22"/>
      <c r="K24" s="71"/>
      <c r="L24" s="22"/>
      <c r="M24" s="21">
        <f t="shared" si="5"/>
        <v>0</v>
      </c>
      <c r="N24" s="23"/>
      <c r="O24" s="26"/>
    </row>
    <row r="25" spans="1:15" x14ac:dyDescent="0.25">
      <c r="A25" s="25"/>
      <c r="B25" s="23"/>
      <c r="C25" s="22"/>
      <c r="D25" s="23"/>
      <c r="E25" s="22"/>
      <c r="F25" s="22"/>
      <c r="G25" s="22"/>
      <c r="H25" s="22"/>
      <c r="I25" s="22"/>
      <c r="J25" s="22"/>
      <c r="K25" s="71"/>
      <c r="L25" s="22"/>
      <c r="M25" s="21">
        <f t="shared" ref="M25" si="6">-E25-F25-G25-H25+I25+J25+K25+L25</f>
        <v>0</v>
      </c>
      <c r="N25" s="23"/>
      <c r="O25" s="26"/>
    </row>
    <row r="26" spans="1:15" x14ac:dyDescent="0.25">
      <c r="A26" s="25"/>
      <c r="B26" s="23"/>
      <c r="C26" s="22"/>
      <c r="D26" s="23"/>
      <c r="E26" s="22"/>
      <c r="F26" s="22"/>
      <c r="G26" s="22"/>
      <c r="H26" s="22"/>
      <c r="I26" s="22"/>
      <c r="J26" s="22"/>
      <c r="K26" s="71"/>
      <c r="L26" s="22"/>
      <c r="M26" s="21">
        <f t="shared" ref="M26" si="7">-E26-F26-G26-H26+I26+J26+K26+L26</f>
        <v>0</v>
      </c>
      <c r="N26" s="23"/>
      <c r="O26" s="26"/>
    </row>
    <row r="27" spans="1:15" x14ac:dyDescent="0.25">
      <c r="A27" s="25"/>
      <c r="B27" s="23"/>
      <c r="C27" s="22"/>
      <c r="D27" s="23"/>
      <c r="E27" s="22"/>
      <c r="F27" s="22"/>
      <c r="G27" s="22"/>
      <c r="H27" s="22"/>
      <c r="I27" s="22"/>
      <c r="J27" s="22"/>
      <c r="K27" s="71"/>
      <c r="L27" s="22"/>
      <c r="M27" s="21">
        <f t="shared" si="5"/>
        <v>0</v>
      </c>
      <c r="N27" s="23"/>
      <c r="O27" s="26"/>
    </row>
    <row r="28" spans="1:15" x14ac:dyDescent="0.25">
      <c r="A28" s="25"/>
      <c r="B28" s="23"/>
      <c r="C28" s="22"/>
      <c r="D28" s="23"/>
      <c r="E28" s="22"/>
      <c r="F28" s="22"/>
      <c r="G28" s="22"/>
      <c r="H28" s="22"/>
      <c r="I28" s="22"/>
      <c r="J28" s="22"/>
      <c r="K28" s="71"/>
      <c r="L28" s="22"/>
      <c r="M28" s="21">
        <f t="shared" si="5"/>
        <v>0</v>
      </c>
      <c r="N28" s="23"/>
      <c r="O28" s="26"/>
    </row>
    <row r="29" spans="1:15" x14ac:dyDescent="0.25">
      <c r="A29" s="25"/>
      <c r="B29" s="23"/>
      <c r="C29" s="22"/>
      <c r="D29" s="23"/>
      <c r="E29" s="22"/>
      <c r="F29" s="22"/>
      <c r="G29" s="22"/>
      <c r="H29" s="22"/>
      <c r="I29" s="22"/>
      <c r="J29" s="22"/>
      <c r="K29" s="71"/>
      <c r="L29" s="22"/>
      <c r="M29" s="21">
        <f t="shared" si="5"/>
        <v>0</v>
      </c>
      <c r="N29" s="23"/>
      <c r="O29" s="26"/>
    </row>
    <row r="30" spans="1:15" x14ac:dyDescent="0.25">
      <c r="A30" s="25"/>
      <c r="B30" s="23"/>
      <c r="C30" s="22"/>
      <c r="D30" s="23"/>
      <c r="E30" s="22"/>
      <c r="F30" s="22"/>
      <c r="G30" s="22"/>
      <c r="H30" s="22"/>
      <c r="I30" s="22"/>
      <c r="J30" s="22"/>
      <c r="K30" s="71"/>
      <c r="L30" s="22"/>
      <c r="M30" s="21">
        <f t="shared" si="5"/>
        <v>0</v>
      </c>
      <c r="N30" s="23"/>
      <c r="O30" s="26"/>
    </row>
    <row r="31" spans="1:15" x14ac:dyDescent="0.25">
      <c r="A31" s="25"/>
      <c r="B31" s="23"/>
      <c r="C31" s="22"/>
      <c r="D31" s="23"/>
      <c r="E31" s="22"/>
      <c r="F31" s="22"/>
      <c r="G31" s="22"/>
      <c r="H31" s="22"/>
      <c r="I31" s="22"/>
      <c r="J31" s="22"/>
      <c r="K31" s="71"/>
      <c r="L31" s="22"/>
      <c r="M31" s="21">
        <f t="shared" ref="M31" si="8">-E31-F31-G31-H31+I31+J31+K31+L31</f>
        <v>0</v>
      </c>
      <c r="N31" s="23"/>
      <c r="O31" s="26"/>
    </row>
    <row r="32" spans="1:15" x14ac:dyDescent="0.25">
      <c r="A32" s="25"/>
      <c r="B32" s="23"/>
      <c r="C32" s="22"/>
      <c r="D32" s="23"/>
      <c r="E32" s="22"/>
      <c r="F32" s="22"/>
      <c r="G32" s="22"/>
      <c r="H32" s="22"/>
      <c r="I32" s="22"/>
      <c r="J32" s="22"/>
      <c r="K32" s="71"/>
      <c r="L32" s="22"/>
      <c r="M32" s="21">
        <f t="shared" ref="M32" si="9">-E32-F32-G32-H32+I32+J32+K32+L32</f>
        <v>0</v>
      </c>
      <c r="N32" s="23"/>
      <c r="O32" s="26"/>
    </row>
    <row r="33" spans="1:15" x14ac:dyDescent="0.25">
      <c r="A33" s="25"/>
      <c r="B33" s="23"/>
      <c r="C33" s="22"/>
      <c r="D33" s="23"/>
      <c r="E33" s="22"/>
      <c r="F33" s="22"/>
      <c r="G33" s="22"/>
      <c r="H33" s="22"/>
      <c r="I33" s="22"/>
      <c r="J33" s="22"/>
      <c r="K33" s="71"/>
      <c r="L33" s="22"/>
      <c r="M33" s="21">
        <f t="shared" si="5"/>
        <v>0</v>
      </c>
      <c r="N33" s="23"/>
      <c r="O33" s="26"/>
    </row>
    <row r="34" spans="1:15" x14ac:dyDescent="0.25">
      <c r="A34" s="25"/>
      <c r="B34" s="23"/>
      <c r="C34" s="22"/>
      <c r="D34" s="23"/>
      <c r="E34" s="22"/>
      <c r="F34" s="22"/>
      <c r="G34" s="22"/>
      <c r="H34" s="22"/>
      <c r="I34" s="22"/>
      <c r="J34" s="22"/>
      <c r="K34" s="71"/>
      <c r="L34" s="22"/>
      <c r="M34" s="21">
        <f t="shared" si="5"/>
        <v>0</v>
      </c>
      <c r="N34" s="23"/>
      <c r="O34" s="26"/>
    </row>
    <row r="35" spans="1:15" x14ac:dyDescent="0.25">
      <c r="A35" s="25"/>
      <c r="B35" s="23"/>
      <c r="C35" s="22"/>
      <c r="D35" s="23"/>
      <c r="E35" s="22"/>
      <c r="F35" s="22"/>
      <c r="G35" s="22"/>
      <c r="H35" s="22"/>
      <c r="I35" s="22"/>
      <c r="J35" s="22"/>
      <c r="K35" s="71"/>
      <c r="L35" s="22"/>
      <c r="M35" s="21">
        <f t="shared" si="5"/>
        <v>0</v>
      </c>
      <c r="N35" s="23"/>
      <c r="O35" s="26"/>
    </row>
    <row r="36" spans="1:15" x14ac:dyDescent="0.25">
      <c r="A36" s="25"/>
      <c r="B36" s="23"/>
      <c r="C36" s="22"/>
      <c r="D36" s="23"/>
      <c r="E36" s="22"/>
      <c r="F36" s="22"/>
      <c r="G36" s="22"/>
      <c r="H36" s="22"/>
      <c r="I36" s="22"/>
      <c r="J36" s="22"/>
      <c r="K36" s="71"/>
      <c r="L36" s="22"/>
      <c r="M36" s="21">
        <f t="shared" si="5"/>
        <v>0</v>
      </c>
      <c r="N36" s="23"/>
      <c r="O36" s="26"/>
    </row>
    <row r="37" spans="1:15" x14ac:dyDescent="0.25">
      <c r="A37" s="25"/>
      <c r="B37" s="23"/>
      <c r="C37" s="22"/>
      <c r="D37" s="23"/>
      <c r="E37" s="22"/>
      <c r="F37" s="22"/>
      <c r="G37" s="22"/>
      <c r="H37" s="22"/>
      <c r="I37" s="22"/>
      <c r="J37" s="22"/>
      <c r="K37" s="71"/>
      <c r="L37" s="22"/>
      <c r="M37" s="21">
        <f t="shared" si="5"/>
        <v>0</v>
      </c>
      <c r="N37" s="23"/>
      <c r="O37" s="26"/>
    </row>
    <row r="38" spans="1:15" x14ac:dyDescent="0.25">
      <c r="A38" s="25"/>
      <c r="B38" s="23"/>
      <c r="C38" s="22"/>
      <c r="D38" s="23"/>
      <c r="E38" s="22"/>
      <c r="F38" s="22"/>
      <c r="G38" s="22"/>
      <c r="H38" s="22"/>
      <c r="I38" s="22"/>
      <c r="J38" s="22"/>
      <c r="K38" s="71"/>
      <c r="L38" s="22"/>
      <c r="M38" s="21">
        <f>-E38-F38-G38-H38+I38+J38+K38+L38</f>
        <v>0</v>
      </c>
      <c r="N38" s="23"/>
      <c r="O38" s="26"/>
    </row>
    <row r="39" spans="1:15" x14ac:dyDescent="0.25">
      <c r="A39" s="25"/>
      <c r="B39" s="23"/>
      <c r="C39" s="22"/>
      <c r="D39" s="23"/>
      <c r="E39" s="22"/>
      <c r="F39" s="22"/>
      <c r="G39" s="22"/>
      <c r="H39" s="22"/>
      <c r="I39" s="22"/>
      <c r="J39" s="22"/>
      <c r="K39" s="71"/>
      <c r="L39" s="22"/>
      <c r="M39" s="21">
        <f t="shared" ref="M39" si="10">-E39-F39-G39-H39+I39+J39+K39+L39</f>
        <v>0</v>
      </c>
      <c r="N39" s="23"/>
      <c r="O39" s="26"/>
    </row>
    <row r="40" spans="1:15" x14ac:dyDescent="0.25">
      <c r="A40" s="25"/>
      <c r="B40" s="23"/>
      <c r="C40" s="22"/>
      <c r="D40" s="23"/>
      <c r="E40" s="22"/>
      <c r="F40" s="22"/>
      <c r="G40" s="22"/>
      <c r="H40" s="22"/>
      <c r="I40" s="22"/>
      <c r="J40" s="22"/>
      <c r="K40" s="71"/>
      <c r="L40" s="22"/>
      <c r="M40" s="21">
        <f t="shared" si="5"/>
        <v>0</v>
      </c>
      <c r="N40" s="23"/>
      <c r="O40" s="26"/>
    </row>
    <row r="41" spans="1:15" x14ac:dyDescent="0.25">
      <c r="A41" s="25"/>
      <c r="B41" s="23"/>
      <c r="C41" s="22"/>
      <c r="D41" s="23"/>
      <c r="E41" s="22"/>
      <c r="F41" s="22"/>
      <c r="G41" s="22"/>
      <c r="H41" s="22"/>
      <c r="I41" s="22"/>
      <c r="J41" s="22"/>
      <c r="K41" s="71"/>
      <c r="L41" s="22"/>
      <c r="M41" s="21">
        <f t="shared" si="5"/>
        <v>0</v>
      </c>
      <c r="N41" s="23"/>
      <c r="O41" s="26"/>
    </row>
    <row r="42" spans="1:15" x14ac:dyDescent="0.25">
      <c r="A42" s="25"/>
      <c r="B42" s="23"/>
      <c r="C42" s="22"/>
      <c r="D42" s="23"/>
      <c r="E42" s="22"/>
      <c r="F42" s="22"/>
      <c r="G42" s="22"/>
      <c r="H42" s="22"/>
      <c r="I42" s="22"/>
      <c r="J42" s="22"/>
      <c r="K42" s="71"/>
      <c r="L42" s="22"/>
      <c r="M42" s="21">
        <f t="shared" si="5"/>
        <v>0</v>
      </c>
      <c r="N42" s="23"/>
      <c r="O42" s="26"/>
    </row>
    <row r="43" spans="1:15" x14ac:dyDescent="0.25">
      <c r="A43" s="25"/>
      <c r="B43" s="23"/>
      <c r="C43" s="22"/>
      <c r="D43" s="23"/>
      <c r="E43" s="22"/>
      <c r="F43" s="22"/>
      <c r="G43" s="22"/>
      <c r="H43" s="22"/>
      <c r="I43" s="22"/>
      <c r="J43" s="22"/>
      <c r="K43" s="71"/>
      <c r="L43" s="22"/>
      <c r="M43" s="21">
        <f t="shared" si="5"/>
        <v>0</v>
      </c>
      <c r="N43" s="23"/>
      <c r="O43" s="26"/>
    </row>
    <row r="44" spans="1:15" x14ac:dyDescent="0.25">
      <c r="A44" s="25"/>
      <c r="B44" s="23"/>
      <c r="C44" s="22"/>
      <c r="D44" s="23"/>
      <c r="E44" s="22"/>
      <c r="F44" s="22"/>
      <c r="G44" s="22"/>
      <c r="H44" s="22"/>
      <c r="I44" s="22"/>
      <c r="J44" s="22"/>
      <c r="K44" s="71"/>
      <c r="L44" s="22"/>
      <c r="M44" s="21">
        <f t="shared" si="5"/>
        <v>0</v>
      </c>
      <c r="N44" s="23"/>
      <c r="O44" s="26"/>
    </row>
    <row r="45" spans="1:15" x14ac:dyDescent="0.25">
      <c r="A45" s="25"/>
      <c r="B45" s="23"/>
      <c r="C45" s="22"/>
      <c r="D45" s="23"/>
      <c r="E45" s="22"/>
      <c r="F45" s="22"/>
      <c r="G45" s="22"/>
      <c r="H45" s="22"/>
      <c r="I45" s="22"/>
      <c r="J45" s="22"/>
      <c r="K45" s="71"/>
      <c r="L45" s="22"/>
      <c r="M45" s="21">
        <f t="shared" si="5"/>
        <v>0</v>
      </c>
      <c r="N45" s="23"/>
      <c r="O45" s="26"/>
    </row>
    <row r="46" spans="1:15" x14ac:dyDescent="0.25">
      <c r="A46" s="25"/>
      <c r="B46" s="23"/>
      <c r="C46" s="22"/>
      <c r="D46" s="23"/>
      <c r="E46" s="22"/>
      <c r="F46" s="22"/>
      <c r="G46" s="22"/>
      <c r="H46" s="22"/>
      <c r="I46" s="22"/>
      <c r="J46" s="22"/>
      <c r="K46" s="71"/>
      <c r="L46" s="22"/>
      <c r="M46" s="21">
        <f t="shared" si="5"/>
        <v>0</v>
      </c>
      <c r="N46" s="23"/>
      <c r="O46" s="26"/>
    </row>
    <row r="47" spans="1:15" x14ac:dyDescent="0.25">
      <c r="A47" s="25"/>
      <c r="B47" s="23"/>
      <c r="C47" s="23"/>
      <c r="D47" s="23"/>
      <c r="E47" s="22"/>
      <c r="F47" s="22"/>
      <c r="G47" s="22"/>
      <c r="H47" s="22"/>
      <c r="I47" s="22"/>
      <c r="J47" s="22"/>
      <c r="K47" s="71"/>
      <c r="L47" s="22"/>
      <c r="M47" s="21">
        <f t="shared" si="5"/>
        <v>0</v>
      </c>
      <c r="N47" s="23"/>
      <c r="O47" s="26"/>
    </row>
    <row r="48" spans="1:15" x14ac:dyDescent="0.25">
      <c r="A48" s="25"/>
      <c r="B48" s="23"/>
      <c r="C48" s="22"/>
      <c r="D48" s="23"/>
      <c r="E48" s="22"/>
      <c r="F48" s="22"/>
      <c r="G48" s="22"/>
      <c r="H48" s="22"/>
      <c r="I48" s="22"/>
      <c r="J48" s="22"/>
      <c r="K48" s="71"/>
      <c r="L48" s="22"/>
      <c r="M48" s="21">
        <f t="shared" si="5"/>
        <v>0</v>
      </c>
      <c r="N48" s="23"/>
      <c r="O48" s="26"/>
    </row>
    <row r="49" spans="1:15" x14ac:dyDescent="0.25">
      <c r="A49" s="25"/>
      <c r="B49" s="23"/>
      <c r="C49" s="22"/>
      <c r="D49" s="23"/>
      <c r="E49" s="22"/>
      <c r="F49" s="22"/>
      <c r="G49" s="22"/>
      <c r="H49" s="22"/>
      <c r="I49" s="22"/>
      <c r="J49" s="22"/>
      <c r="K49" s="71"/>
      <c r="L49" s="22"/>
      <c r="M49" s="21">
        <f t="shared" si="5"/>
        <v>0</v>
      </c>
      <c r="N49" s="23"/>
      <c r="O49" s="26"/>
    </row>
    <row r="50" spans="1:15" x14ac:dyDescent="0.25">
      <c r="A50" s="25"/>
      <c r="B50" s="23"/>
      <c r="C50" s="22"/>
      <c r="D50" s="23"/>
      <c r="E50" s="22"/>
      <c r="F50" s="22"/>
      <c r="G50" s="22"/>
      <c r="H50" s="22"/>
      <c r="I50" s="22"/>
      <c r="J50" s="22"/>
      <c r="K50" s="71"/>
      <c r="L50" s="22"/>
      <c r="M50" s="21">
        <f t="shared" si="5"/>
        <v>0</v>
      </c>
      <c r="N50" s="23"/>
      <c r="O50" s="26"/>
    </row>
    <row r="51" spans="1:15" x14ac:dyDescent="0.25">
      <c r="A51" s="25"/>
      <c r="B51" s="23"/>
      <c r="C51" s="22"/>
      <c r="D51" s="23"/>
      <c r="E51" s="22"/>
      <c r="F51" s="22"/>
      <c r="G51" s="22"/>
      <c r="H51" s="22"/>
      <c r="I51" s="22"/>
      <c r="J51" s="22"/>
      <c r="K51" s="71"/>
      <c r="L51" s="22"/>
      <c r="M51" s="21">
        <f t="shared" si="5"/>
        <v>0</v>
      </c>
      <c r="N51" s="23"/>
      <c r="O51" s="26"/>
    </row>
    <row r="52" spans="1:15" x14ac:dyDescent="0.25">
      <c r="A52" s="25"/>
      <c r="B52" s="23"/>
      <c r="C52" s="22"/>
      <c r="D52" s="23"/>
      <c r="E52" s="22"/>
      <c r="F52" s="22"/>
      <c r="G52" s="22"/>
      <c r="H52" s="22"/>
      <c r="I52" s="22"/>
      <c r="J52" s="22"/>
      <c r="K52" s="71"/>
      <c r="L52" s="22"/>
      <c r="M52" s="21">
        <f t="shared" si="5"/>
        <v>0</v>
      </c>
      <c r="N52" s="23"/>
      <c r="O52" s="26"/>
    </row>
    <row r="53" spans="1:15" x14ac:dyDescent="0.25">
      <c r="A53" s="25"/>
      <c r="B53" s="23"/>
      <c r="C53" s="22"/>
      <c r="D53" s="23"/>
      <c r="E53" s="22"/>
      <c r="F53" s="22"/>
      <c r="G53" s="22"/>
      <c r="H53" s="22"/>
      <c r="I53" s="22"/>
      <c r="J53" s="22"/>
      <c r="K53" s="71"/>
      <c r="L53" s="22"/>
      <c r="M53" s="21">
        <f t="shared" si="5"/>
        <v>0</v>
      </c>
      <c r="N53" s="23"/>
      <c r="O53" s="26"/>
    </row>
    <row r="54" spans="1:15" x14ac:dyDescent="0.25">
      <c r="A54" s="25"/>
      <c r="B54" s="23"/>
      <c r="C54" s="22"/>
      <c r="D54" s="23"/>
      <c r="E54" s="22"/>
      <c r="F54" s="22"/>
      <c r="G54" s="22"/>
      <c r="H54" s="22"/>
      <c r="I54" s="22"/>
      <c r="J54" s="22"/>
      <c r="K54" s="71"/>
      <c r="L54" s="22"/>
      <c r="M54" s="21">
        <f t="shared" si="5"/>
        <v>0</v>
      </c>
      <c r="N54" s="23"/>
      <c r="O54" s="26"/>
    </row>
    <row r="55" spans="1:15" x14ac:dyDescent="0.25">
      <c r="A55" s="25"/>
      <c r="B55" s="23"/>
      <c r="C55" s="22"/>
      <c r="D55" s="23"/>
      <c r="E55" s="22"/>
      <c r="F55" s="22"/>
      <c r="G55" s="22"/>
      <c r="H55" s="22"/>
      <c r="I55" s="22"/>
      <c r="J55" s="22"/>
      <c r="K55" s="71"/>
      <c r="L55" s="22"/>
      <c r="M55" s="21">
        <f t="shared" si="5"/>
        <v>0</v>
      </c>
      <c r="N55" s="23"/>
      <c r="O55" s="26"/>
    </row>
    <row r="56" spans="1:15" x14ac:dyDescent="0.25">
      <c r="A56" s="25"/>
      <c r="B56" s="23"/>
      <c r="C56" s="22"/>
      <c r="D56" s="23"/>
      <c r="E56" s="22"/>
      <c r="F56" s="22"/>
      <c r="G56" s="22"/>
      <c r="H56" s="22"/>
      <c r="I56" s="22"/>
      <c r="J56" s="22"/>
      <c r="K56" s="71"/>
      <c r="L56" s="22"/>
      <c r="M56" s="21">
        <f t="shared" ref="M56" si="11">-E56-F56-G56-H56+I56+J56+K56+L56</f>
        <v>0</v>
      </c>
      <c r="N56" s="23"/>
      <c r="O56" s="26"/>
    </row>
    <row r="57" spans="1:15" x14ac:dyDescent="0.25">
      <c r="A57" s="25"/>
      <c r="B57" s="23"/>
      <c r="C57" s="22"/>
      <c r="D57" s="23"/>
      <c r="E57" s="22"/>
      <c r="F57" s="22"/>
      <c r="G57" s="22"/>
      <c r="H57" s="22"/>
      <c r="I57" s="22"/>
      <c r="J57" s="22"/>
      <c r="K57" s="71"/>
      <c r="L57" s="22"/>
      <c r="M57" s="21">
        <f t="shared" si="5"/>
        <v>0</v>
      </c>
      <c r="N57" s="23"/>
      <c r="O57" s="26"/>
    </row>
    <row r="58" spans="1:15" x14ac:dyDescent="0.25">
      <c r="A58" s="25"/>
      <c r="B58" s="23"/>
      <c r="C58" s="23"/>
      <c r="D58" s="23"/>
      <c r="E58" s="22"/>
      <c r="F58" s="22"/>
      <c r="G58" s="22"/>
      <c r="H58" s="22"/>
      <c r="I58" s="22"/>
      <c r="J58" s="22"/>
      <c r="K58" s="71"/>
      <c r="L58" s="22"/>
      <c r="M58" s="21">
        <f t="shared" si="5"/>
        <v>0</v>
      </c>
      <c r="N58" s="23"/>
      <c r="O58" s="26"/>
    </row>
    <row r="59" spans="1:15" x14ac:dyDescent="0.25">
      <c r="A59" s="25"/>
      <c r="B59" s="23"/>
      <c r="C59" s="22"/>
      <c r="D59" s="23"/>
      <c r="E59" s="22"/>
      <c r="F59" s="22"/>
      <c r="G59" s="22"/>
      <c r="H59" s="22"/>
      <c r="I59" s="22"/>
      <c r="J59" s="22"/>
      <c r="K59" s="71"/>
      <c r="L59" s="22"/>
      <c r="M59" s="21">
        <f>-E59-F59-G59-H59+I59+J59+K59+L59</f>
        <v>0</v>
      </c>
      <c r="N59" s="23"/>
      <c r="O59" s="26"/>
    </row>
    <row r="60" spans="1:15" x14ac:dyDescent="0.25">
      <c r="A60" s="25"/>
      <c r="B60" s="23"/>
      <c r="C60" s="22"/>
      <c r="D60" s="23"/>
      <c r="E60" s="22"/>
      <c r="F60" s="22"/>
      <c r="G60" s="22"/>
      <c r="H60" s="22"/>
      <c r="I60" s="22"/>
      <c r="J60" s="22"/>
      <c r="K60" s="71"/>
      <c r="L60" s="22"/>
      <c r="M60" s="21">
        <f t="shared" si="5"/>
        <v>0</v>
      </c>
      <c r="N60" s="23"/>
      <c r="O60" s="26"/>
    </row>
    <row r="61" spans="1:15" x14ac:dyDescent="0.25">
      <c r="A61" s="25"/>
      <c r="B61" s="23"/>
      <c r="C61" s="22"/>
      <c r="D61" s="23"/>
      <c r="E61" s="22"/>
      <c r="F61" s="22"/>
      <c r="G61" s="22"/>
      <c r="H61" s="22"/>
      <c r="I61" s="22"/>
      <c r="J61" s="22"/>
      <c r="K61" s="71"/>
      <c r="L61" s="22"/>
      <c r="M61" s="21">
        <f t="shared" si="5"/>
        <v>0</v>
      </c>
      <c r="N61" s="23"/>
      <c r="O61" s="26"/>
    </row>
    <row r="62" spans="1:15" x14ac:dyDescent="0.25">
      <c r="A62" s="25"/>
      <c r="B62" s="23"/>
      <c r="C62" s="22"/>
      <c r="D62" s="23"/>
      <c r="E62" s="22"/>
      <c r="F62" s="22"/>
      <c r="G62" s="22"/>
      <c r="H62" s="22"/>
      <c r="I62" s="22"/>
      <c r="J62" s="22"/>
      <c r="K62" s="71"/>
      <c r="L62" s="22"/>
      <c r="M62" s="21">
        <f t="shared" si="5"/>
        <v>0</v>
      </c>
      <c r="N62" s="23"/>
      <c r="O62" s="26"/>
    </row>
    <row r="63" spans="1:15" x14ac:dyDescent="0.25">
      <c r="A63" s="25"/>
      <c r="B63" s="23"/>
      <c r="C63" s="22"/>
      <c r="D63" s="23"/>
      <c r="E63" s="22"/>
      <c r="F63" s="22"/>
      <c r="G63" s="22"/>
      <c r="H63" s="22"/>
      <c r="I63" s="22"/>
      <c r="J63" s="22"/>
      <c r="K63" s="71"/>
      <c r="L63" s="22"/>
      <c r="M63" s="21">
        <f t="shared" si="5"/>
        <v>0</v>
      </c>
      <c r="N63" s="23"/>
      <c r="O63" s="26"/>
    </row>
    <row r="64" spans="1:15" x14ac:dyDescent="0.25">
      <c r="A64" s="25"/>
      <c r="B64" s="23"/>
      <c r="C64" s="22"/>
      <c r="D64" s="23"/>
      <c r="E64" s="22"/>
      <c r="F64" s="22"/>
      <c r="G64" s="22"/>
      <c r="H64" s="22"/>
      <c r="I64" s="22"/>
      <c r="J64" s="22"/>
      <c r="K64" s="71"/>
      <c r="L64" s="22"/>
      <c r="M64" s="21">
        <f t="shared" ref="M64" si="12">-E64-F64-G64-H64+I64+J64+K64+L64</f>
        <v>0</v>
      </c>
      <c r="N64" s="23"/>
      <c r="O64" s="26"/>
    </row>
    <row r="65" spans="1:15" x14ac:dyDescent="0.25">
      <c r="A65" s="25"/>
      <c r="B65" s="23"/>
      <c r="C65" s="22"/>
      <c r="D65" s="23"/>
      <c r="E65" s="22"/>
      <c r="F65" s="22"/>
      <c r="G65" s="22"/>
      <c r="H65" s="22"/>
      <c r="I65" s="22"/>
      <c r="J65" s="22"/>
      <c r="K65" s="71"/>
      <c r="L65" s="22"/>
      <c r="M65" s="21">
        <f t="shared" ref="M65" si="13">-E65-F65-G65-H65+I65+J65+K65+L65</f>
        <v>0</v>
      </c>
      <c r="N65" s="23"/>
      <c r="O65" s="26"/>
    </row>
    <row r="66" spans="1:15" x14ac:dyDescent="0.25">
      <c r="A66" s="25"/>
      <c r="B66" s="23"/>
      <c r="C66" s="22"/>
      <c r="D66" s="23"/>
      <c r="E66" s="22"/>
      <c r="F66" s="22"/>
      <c r="G66" s="22"/>
      <c r="H66" s="22"/>
      <c r="I66" s="22"/>
      <c r="J66" s="22"/>
      <c r="K66" s="71"/>
      <c r="L66" s="22"/>
      <c r="M66" s="21">
        <f t="shared" si="5"/>
        <v>0</v>
      </c>
      <c r="N66" s="23"/>
      <c r="O66" s="26"/>
    </row>
    <row r="67" spans="1:15" x14ac:dyDescent="0.25">
      <c r="A67" s="25"/>
      <c r="B67" s="23"/>
      <c r="C67" s="22"/>
      <c r="D67" s="23"/>
      <c r="E67" s="22"/>
      <c r="F67" s="22"/>
      <c r="G67" s="22"/>
      <c r="H67" s="22"/>
      <c r="I67" s="22"/>
      <c r="J67" s="22"/>
      <c r="K67" s="71"/>
      <c r="L67" s="22"/>
      <c r="M67" s="21">
        <f t="shared" si="5"/>
        <v>0</v>
      </c>
      <c r="N67" s="23"/>
      <c r="O67" s="26"/>
    </row>
    <row r="68" spans="1:15" x14ac:dyDescent="0.25">
      <c r="A68" s="25"/>
      <c r="B68" s="23"/>
      <c r="C68" s="22"/>
      <c r="D68" s="23"/>
      <c r="E68" s="22"/>
      <c r="F68" s="22"/>
      <c r="G68" s="22"/>
      <c r="H68" s="22"/>
      <c r="I68" s="22"/>
      <c r="J68" s="22"/>
      <c r="K68" s="71"/>
      <c r="L68" s="22"/>
      <c r="M68" s="21">
        <f t="shared" si="5"/>
        <v>0</v>
      </c>
      <c r="N68" s="23"/>
      <c r="O68" s="26"/>
    </row>
    <row r="69" spans="1:15" s="36" customFormat="1" x14ac:dyDescent="0.25">
      <c r="A69" s="25"/>
      <c r="B69" s="23"/>
      <c r="C69" s="22"/>
      <c r="D69" s="23"/>
      <c r="E69" s="22"/>
      <c r="F69" s="22"/>
      <c r="G69" s="22"/>
      <c r="H69" s="22"/>
      <c r="I69" s="22"/>
      <c r="J69" s="22"/>
      <c r="K69" s="71"/>
      <c r="L69" s="22"/>
      <c r="M69" s="21">
        <f t="shared" si="5"/>
        <v>0</v>
      </c>
      <c r="N69" s="23"/>
      <c r="O69" s="26"/>
    </row>
    <row r="70" spans="1:15" x14ac:dyDescent="0.25">
      <c r="A70" s="25"/>
      <c r="B70" s="23"/>
      <c r="C70" s="22"/>
      <c r="D70" s="23"/>
      <c r="E70" s="22"/>
      <c r="F70" s="22"/>
      <c r="G70" s="22"/>
      <c r="H70" s="22"/>
      <c r="I70" s="22"/>
      <c r="J70" s="22"/>
      <c r="K70" s="71"/>
      <c r="L70" s="22"/>
      <c r="M70" s="22">
        <f t="shared" si="5"/>
        <v>0</v>
      </c>
      <c r="N70" s="23"/>
      <c r="O70" s="26"/>
    </row>
    <row r="71" spans="1:15" x14ac:dyDescent="0.25">
      <c r="A71" s="25"/>
      <c r="B71" s="23"/>
      <c r="C71" s="22"/>
      <c r="D71" s="23"/>
      <c r="E71" s="22"/>
      <c r="F71" s="22"/>
      <c r="G71" s="22"/>
      <c r="H71" s="22"/>
      <c r="I71" s="22"/>
      <c r="J71" s="22"/>
      <c r="K71" s="71"/>
      <c r="L71" s="22"/>
      <c r="M71" s="21">
        <f t="shared" si="5"/>
        <v>0</v>
      </c>
      <c r="N71" s="23"/>
      <c r="O71" s="26"/>
    </row>
    <row r="72" spans="1:15" x14ac:dyDescent="0.25">
      <c r="A72" s="25"/>
      <c r="B72" s="23"/>
      <c r="C72" s="22"/>
      <c r="D72" s="23"/>
      <c r="E72" s="22"/>
      <c r="F72" s="22"/>
      <c r="G72" s="22"/>
      <c r="H72" s="22"/>
      <c r="I72" s="22"/>
      <c r="J72" s="22"/>
      <c r="K72" s="71"/>
      <c r="L72" s="22"/>
      <c r="M72" s="21">
        <f t="shared" si="5"/>
        <v>0</v>
      </c>
      <c r="N72" s="23"/>
      <c r="O72" s="26"/>
    </row>
    <row r="73" spans="1:15" x14ac:dyDescent="0.25">
      <c r="A73" s="25"/>
      <c r="B73" s="23"/>
      <c r="C73" s="22"/>
      <c r="D73" s="23"/>
      <c r="E73" s="22"/>
      <c r="F73" s="22"/>
      <c r="G73" s="22"/>
      <c r="H73" s="22"/>
      <c r="I73" s="22"/>
      <c r="J73" s="22"/>
      <c r="K73" s="71"/>
      <c r="L73" s="22"/>
      <c r="M73" s="21">
        <f t="shared" si="5"/>
        <v>0</v>
      </c>
      <c r="N73" s="23"/>
      <c r="O73" s="26"/>
    </row>
    <row r="74" spans="1:15" x14ac:dyDescent="0.25">
      <c r="A74" s="25"/>
      <c r="B74" s="23"/>
      <c r="C74" s="22"/>
      <c r="D74" s="23"/>
      <c r="E74" s="22"/>
      <c r="F74" s="22"/>
      <c r="G74" s="22"/>
      <c r="H74" s="22"/>
      <c r="I74" s="22"/>
      <c r="J74" s="22"/>
      <c r="K74" s="71"/>
      <c r="L74" s="22"/>
      <c r="M74" s="21">
        <f t="shared" si="5"/>
        <v>0</v>
      </c>
      <c r="N74" s="23"/>
      <c r="O74" s="26"/>
    </row>
    <row r="75" spans="1:15" x14ac:dyDescent="0.25">
      <c r="A75" s="25"/>
      <c r="B75" s="23"/>
      <c r="C75" s="22"/>
      <c r="D75" s="23"/>
      <c r="E75" s="22"/>
      <c r="F75" s="22"/>
      <c r="G75" s="22"/>
      <c r="H75" s="22"/>
      <c r="I75" s="22"/>
      <c r="J75" s="22"/>
      <c r="K75" s="71"/>
      <c r="L75" s="22"/>
      <c r="M75" s="21">
        <f t="shared" si="5"/>
        <v>0</v>
      </c>
      <c r="N75" s="23"/>
      <c r="O75" s="26"/>
    </row>
    <row r="76" spans="1:15" x14ac:dyDescent="0.25">
      <c r="A76" s="25"/>
      <c r="B76" s="23"/>
      <c r="C76" s="22"/>
      <c r="D76" s="23"/>
      <c r="E76" s="22"/>
      <c r="F76" s="22"/>
      <c r="G76" s="22"/>
      <c r="H76" s="22"/>
      <c r="I76" s="22"/>
      <c r="J76" s="22"/>
      <c r="K76" s="71"/>
      <c r="L76" s="22"/>
      <c r="M76" s="21">
        <f t="shared" si="5"/>
        <v>0</v>
      </c>
      <c r="N76" s="23"/>
      <c r="O76" s="26"/>
    </row>
    <row r="77" spans="1:15" x14ac:dyDescent="0.25">
      <c r="A77" s="25"/>
      <c r="B77" s="23"/>
      <c r="C77" s="22"/>
      <c r="D77" s="23"/>
      <c r="E77" s="22"/>
      <c r="F77" s="22"/>
      <c r="G77" s="22"/>
      <c r="H77" s="22"/>
      <c r="I77" s="22"/>
      <c r="J77" s="22"/>
      <c r="K77" s="71"/>
      <c r="L77" s="22"/>
      <c r="M77" s="21">
        <f t="shared" si="5"/>
        <v>0</v>
      </c>
      <c r="N77" s="23"/>
      <c r="O77" s="26"/>
    </row>
    <row r="78" spans="1:15" x14ac:dyDescent="0.25">
      <c r="A78" s="25"/>
      <c r="B78" s="23"/>
      <c r="C78" s="22"/>
      <c r="D78" s="23"/>
      <c r="E78" s="22"/>
      <c r="F78" s="22"/>
      <c r="G78" s="22"/>
      <c r="H78" s="22"/>
      <c r="I78" s="22"/>
      <c r="J78" s="22"/>
      <c r="K78" s="71"/>
      <c r="L78" s="22"/>
      <c r="M78" s="21">
        <f t="shared" si="5"/>
        <v>0</v>
      </c>
      <c r="N78" s="23"/>
      <c r="O78" s="26"/>
    </row>
    <row r="79" spans="1:15" x14ac:dyDescent="0.25">
      <c r="A79" s="25"/>
      <c r="B79" s="23"/>
      <c r="C79" s="22"/>
      <c r="D79" s="23"/>
      <c r="E79" s="22"/>
      <c r="F79" s="22"/>
      <c r="G79" s="22"/>
      <c r="H79" s="22"/>
      <c r="I79" s="22"/>
      <c r="J79" s="22"/>
      <c r="K79" s="71"/>
      <c r="L79" s="22"/>
      <c r="M79" s="21">
        <f t="shared" si="5"/>
        <v>0</v>
      </c>
      <c r="N79" s="23"/>
      <c r="O79" s="26"/>
    </row>
    <row r="80" spans="1:15" x14ac:dyDescent="0.25">
      <c r="A80" s="25"/>
      <c r="B80" s="23"/>
      <c r="C80" s="22"/>
      <c r="D80" s="23"/>
      <c r="E80" s="22"/>
      <c r="F80" s="22"/>
      <c r="G80" s="22"/>
      <c r="H80" s="22"/>
      <c r="I80" s="22"/>
      <c r="J80" s="22"/>
      <c r="K80" s="71"/>
      <c r="L80" s="22"/>
      <c r="M80" s="21">
        <f t="shared" si="5"/>
        <v>0</v>
      </c>
      <c r="N80" s="23"/>
      <c r="O80" s="26"/>
    </row>
    <row r="81" spans="1:15" x14ac:dyDescent="0.25">
      <c r="A81" s="25"/>
      <c r="B81" s="23"/>
      <c r="C81" s="22"/>
      <c r="D81" s="23"/>
      <c r="E81" s="22"/>
      <c r="F81" s="22"/>
      <c r="G81" s="22"/>
      <c r="H81" s="22"/>
      <c r="I81" s="22"/>
      <c r="J81" s="22"/>
      <c r="K81" s="71"/>
      <c r="L81" s="22"/>
      <c r="M81" s="21">
        <f t="shared" ref="M81" si="14">-E81-F81-G81-H81+I81+J81+K81+L81</f>
        <v>0</v>
      </c>
      <c r="N81" s="23"/>
      <c r="O81" s="26"/>
    </row>
    <row r="82" spans="1:15" x14ac:dyDescent="0.25">
      <c r="A82" s="25"/>
      <c r="B82" s="23"/>
      <c r="C82" s="22"/>
      <c r="D82" s="23"/>
      <c r="E82" s="22"/>
      <c r="F82" s="22"/>
      <c r="G82" s="22"/>
      <c r="H82" s="22"/>
      <c r="I82" s="22"/>
      <c r="J82" s="22"/>
      <c r="K82" s="71"/>
      <c r="L82" s="22"/>
      <c r="M82" s="22">
        <f t="shared" ref="M82:M111" si="15">-E82-F82-G82-H82+I82+J82+K82+L82</f>
        <v>0</v>
      </c>
      <c r="N82" s="23"/>
      <c r="O82" s="26"/>
    </row>
    <row r="83" spans="1:15" x14ac:dyDescent="0.25">
      <c r="A83" s="25"/>
      <c r="B83" s="23"/>
      <c r="C83" s="22"/>
      <c r="D83" s="23"/>
      <c r="E83" s="22"/>
      <c r="F83" s="22"/>
      <c r="G83" s="22"/>
      <c r="H83" s="22"/>
      <c r="I83" s="22"/>
      <c r="J83" s="22"/>
      <c r="K83" s="71"/>
      <c r="L83" s="22"/>
      <c r="M83" s="21">
        <f t="shared" si="15"/>
        <v>0</v>
      </c>
      <c r="N83" s="23"/>
      <c r="O83" s="26"/>
    </row>
    <row r="84" spans="1:15" x14ac:dyDescent="0.25">
      <c r="A84" s="25"/>
      <c r="B84" s="23"/>
      <c r="C84" s="22"/>
      <c r="D84" s="23"/>
      <c r="E84" s="22"/>
      <c r="F84" s="22"/>
      <c r="G84" s="22"/>
      <c r="H84" s="22"/>
      <c r="I84" s="22"/>
      <c r="J84" s="22"/>
      <c r="K84" s="71"/>
      <c r="L84" s="22"/>
      <c r="M84" s="21">
        <f t="shared" ref="M84" si="16">-E84-F84-G84-H84+I84+J84+K84+L84</f>
        <v>0</v>
      </c>
      <c r="N84" s="23"/>
      <c r="O84" s="26"/>
    </row>
    <row r="85" spans="1:15" x14ac:dyDescent="0.25">
      <c r="A85" s="25"/>
      <c r="B85" s="23"/>
      <c r="C85" s="22"/>
      <c r="D85" s="23"/>
      <c r="E85" s="22"/>
      <c r="F85" s="22"/>
      <c r="G85" s="22"/>
      <c r="H85" s="22"/>
      <c r="I85" s="22"/>
      <c r="J85" s="22"/>
      <c r="K85" s="71"/>
      <c r="L85" s="22"/>
      <c r="M85" s="21">
        <f t="shared" ref="M85" si="17">-E85-F85-G85-H85+I85+J85+K85+L85</f>
        <v>0</v>
      </c>
      <c r="N85" s="23"/>
      <c r="O85" s="26"/>
    </row>
    <row r="86" spans="1:15" x14ac:dyDescent="0.25">
      <c r="A86" s="25"/>
      <c r="B86" s="23"/>
      <c r="C86" s="22"/>
      <c r="D86" s="23"/>
      <c r="E86" s="22"/>
      <c r="F86" s="22"/>
      <c r="G86" s="22"/>
      <c r="H86" s="22"/>
      <c r="I86" s="22"/>
      <c r="J86" s="22"/>
      <c r="K86" s="71"/>
      <c r="L86" s="22"/>
      <c r="M86" s="21">
        <f t="shared" si="15"/>
        <v>0</v>
      </c>
      <c r="N86" s="23"/>
      <c r="O86" s="26"/>
    </row>
    <row r="87" spans="1:15" x14ac:dyDescent="0.25">
      <c r="A87" s="25"/>
      <c r="B87" s="23"/>
      <c r="C87" s="22"/>
      <c r="D87" s="23"/>
      <c r="E87" s="22"/>
      <c r="F87" s="22"/>
      <c r="G87" s="22"/>
      <c r="H87" s="22"/>
      <c r="I87" s="22"/>
      <c r="J87" s="22"/>
      <c r="K87" s="71"/>
      <c r="L87" s="22"/>
      <c r="M87" s="21">
        <f t="shared" si="15"/>
        <v>0</v>
      </c>
      <c r="N87" s="23"/>
      <c r="O87" s="26"/>
    </row>
    <row r="88" spans="1:15" x14ac:dyDescent="0.25">
      <c r="A88" s="25"/>
      <c r="B88" s="23"/>
      <c r="C88" s="22"/>
      <c r="D88" s="23"/>
      <c r="E88" s="22"/>
      <c r="F88" s="22"/>
      <c r="G88" s="22"/>
      <c r="H88" s="22"/>
      <c r="I88" s="22"/>
      <c r="J88" s="22"/>
      <c r="K88" s="71"/>
      <c r="L88" s="22"/>
      <c r="M88" s="21">
        <f t="shared" si="15"/>
        <v>0</v>
      </c>
      <c r="N88" s="23"/>
      <c r="O88" s="26"/>
    </row>
    <row r="89" spans="1:15" x14ac:dyDescent="0.25">
      <c r="A89" s="25"/>
      <c r="B89" s="23"/>
      <c r="C89" s="22"/>
      <c r="D89" s="23"/>
      <c r="E89" s="22"/>
      <c r="F89" s="22"/>
      <c r="G89" s="22"/>
      <c r="H89" s="22"/>
      <c r="I89" s="22"/>
      <c r="J89" s="22"/>
      <c r="K89" s="71"/>
      <c r="L89" s="22"/>
      <c r="M89" s="21">
        <f t="shared" si="15"/>
        <v>0</v>
      </c>
      <c r="N89" s="23"/>
      <c r="O89" s="26"/>
    </row>
    <row r="90" spans="1:15" x14ac:dyDescent="0.25">
      <c r="A90" s="25"/>
      <c r="B90" s="23"/>
      <c r="C90" s="22"/>
      <c r="D90" s="23"/>
      <c r="E90" s="22"/>
      <c r="F90" s="22"/>
      <c r="G90" s="22"/>
      <c r="H90" s="22"/>
      <c r="I90" s="22"/>
      <c r="J90" s="22"/>
      <c r="K90" s="71"/>
      <c r="L90" s="22"/>
      <c r="M90" s="21">
        <f t="shared" si="15"/>
        <v>0</v>
      </c>
      <c r="N90" s="23"/>
      <c r="O90" s="26"/>
    </row>
    <row r="91" spans="1:15" x14ac:dyDescent="0.25">
      <c r="A91" s="25"/>
      <c r="B91" s="23"/>
      <c r="C91" s="22"/>
      <c r="D91" s="23"/>
      <c r="E91" s="22"/>
      <c r="F91" s="22"/>
      <c r="G91" s="22"/>
      <c r="H91" s="22"/>
      <c r="I91" s="22"/>
      <c r="J91" s="22"/>
      <c r="K91" s="71"/>
      <c r="L91" s="22"/>
      <c r="M91" s="21">
        <f t="shared" si="15"/>
        <v>0</v>
      </c>
      <c r="N91" s="23"/>
      <c r="O91" s="26"/>
    </row>
    <row r="92" spans="1:15" x14ac:dyDescent="0.25">
      <c r="A92" s="25"/>
      <c r="B92" s="23"/>
      <c r="C92" s="22"/>
      <c r="D92" s="23"/>
      <c r="E92" s="22"/>
      <c r="F92" s="22"/>
      <c r="G92" s="22"/>
      <c r="H92" s="22"/>
      <c r="I92" s="22"/>
      <c r="J92" s="22"/>
      <c r="K92" s="71"/>
      <c r="L92" s="22"/>
      <c r="M92" s="21">
        <f t="shared" si="15"/>
        <v>0</v>
      </c>
      <c r="N92" s="23"/>
      <c r="O92" s="26"/>
    </row>
    <row r="93" spans="1:15" x14ac:dyDescent="0.25">
      <c r="A93" s="25"/>
      <c r="B93" s="23"/>
      <c r="C93" s="22"/>
      <c r="D93" s="23"/>
      <c r="E93" s="22"/>
      <c r="F93" s="22"/>
      <c r="G93" s="22"/>
      <c r="H93" s="22"/>
      <c r="I93" s="22"/>
      <c r="J93" s="22"/>
      <c r="K93" s="71"/>
      <c r="L93" s="22"/>
      <c r="M93" s="21">
        <f t="shared" si="15"/>
        <v>0</v>
      </c>
      <c r="N93" s="23"/>
      <c r="O93" s="26"/>
    </row>
    <row r="94" spans="1:15" x14ac:dyDescent="0.25">
      <c r="A94" s="25"/>
      <c r="B94" s="23"/>
      <c r="C94" s="22"/>
      <c r="D94" s="23"/>
      <c r="E94" s="22"/>
      <c r="F94" s="22"/>
      <c r="G94" s="22"/>
      <c r="H94" s="22"/>
      <c r="I94" s="22"/>
      <c r="J94" s="22"/>
      <c r="K94" s="71"/>
      <c r="L94" s="22"/>
      <c r="M94" s="21">
        <f t="shared" si="15"/>
        <v>0</v>
      </c>
      <c r="N94" s="23"/>
      <c r="O94" s="26"/>
    </row>
    <row r="95" spans="1:15" x14ac:dyDescent="0.25">
      <c r="A95" s="25"/>
      <c r="B95" s="23"/>
      <c r="C95" s="22"/>
      <c r="D95" s="23"/>
      <c r="E95" s="22"/>
      <c r="F95" s="22"/>
      <c r="G95" s="22"/>
      <c r="H95" s="22"/>
      <c r="I95" s="22"/>
      <c r="J95" s="22"/>
      <c r="K95" s="71"/>
      <c r="L95" s="22"/>
      <c r="M95" s="21">
        <f t="shared" si="15"/>
        <v>0</v>
      </c>
      <c r="N95" s="23"/>
      <c r="O95" s="26"/>
    </row>
    <row r="96" spans="1:15" x14ac:dyDescent="0.25">
      <c r="A96" s="25"/>
      <c r="B96" s="23"/>
      <c r="C96" s="22"/>
      <c r="D96" s="23"/>
      <c r="E96" s="22"/>
      <c r="F96" s="22"/>
      <c r="G96" s="22"/>
      <c r="H96" s="22"/>
      <c r="I96" s="22"/>
      <c r="J96" s="22"/>
      <c r="K96" s="71"/>
      <c r="L96" s="22"/>
      <c r="M96" s="21">
        <f t="shared" si="15"/>
        <v>0</v>
      </c>
      <c r="N96" s="23"/>
      <c r="O96" s="26"/>
    </row>
    <row r="97" spans="1:19" x14ac:dyDescent="0.25">
      <c r="A97" s="25"/>
      <c r="B97" s="23"/>
      <c r="C97" s="22"/>
      <c r="D97" s="23"/>
      <c r="E97" s="22"/>
      <c r="F97" s="22"/>
      <c r="G97" s="22"/>
      <c r="H97" s="22"/>
      <c r="I97" s="22"/>
      <c r="J97" s="22"/>
      <c r="K97" s="71"/>
      <c r="L97" s="22"/>
      <c r="M97" s="21">
        <f t="shared" si="15"/>
        <v>0</v>
      </c>
      <c r="N97" s="23"/>
      <c r="O97" s="26"/>
    </row>
    <row r="98" spans="1:19" x14ac:dyDescent="0.25">
      <c r="A98" s="25"/>
      <c r="B98" s="23"/>
      <c r="C98" s="22"/>
      <c r="D98" s="23"/>
      <c r="E98" s="22"/>
      <c r="F98" s="22"/>
      <c r="G98" s="22"/>
      <c r="H98" s="22"/>
      <c r="I98" s="22"/>
      <c r="J98" s="22"/>
      <c r="K98" s="71"/>
      <c r="L98" s="22"/>
      <c r="M98" s="21">
        <f t="shared" si="15"/>
        <v>0</v>
      </c>
      <c r="N98" s="23"/>
      <c r="O98" s="68"/>
    </row>
    <row r="99" spans="1:19" x14ac:dyDescent="0.25">
      <c r="A99" s="25"/>
      <c r="B99" s="23"/>
      <c r="C99" s="22"/>
      <c r="D99" s="23"/>
      <c r="E99" s="22"/>
      <c r="F99" s="22"/>
      <c r="G99" s="22"/>
      <c r="H99" s="22"/>
      <c r="I99" s="22"/>
      <c r="J99" s="22"/>
      <c r="K99" s="71"/>
      <c r="L99" s="22"/>
      <c r="M99" s="21">
        <f t="shared" si="15"/>
        <v>0</v>
      </c>
      <c r="N99" s="23"/>
      <c r="O99" s="68"/>
    </row>
    <row r="100" spans="1:19" x14ac:dyDescent="0.25">
      <c r="A100" s="25"/>
      <c r="B100" s="23"/>
      <c r="C100" s="22"/>
      <c r="D100" s="23"/>
      <c r="E100" s="22"/>
      <c r="F100" s="22"/>
      <c r="G100" s="22"/>
      <c r="H100" s="22"/>
      <c r="I100" s="22"/>
      <c r="J100" s="22"/>
      <c r="K100" s="71"/>
      <c r="L100" s="22"/>
      <c r="M100" s="21">
        <f t="shared" ref="M100" si="18">-E100-F100-G100-H100+I100+J100+K100+L100</f>
        <v>0</v>
      </c>
      <c r="N100" s="23"/>
      <c r="O100" s="68"/>
    </row>
    <row r="101" spans="1:19" x14ac:dyDescent="0.25">
      <c r="A101" s="25"/>
      <c r="B101" s="23"/>
      <c r="C101" s="22"/>
      <c r="D101" s="23"/>
      <c r="E101" s="22"/>
      <c r="F101" s="22"/>
      <c r="G101" s="22"/>
      <c r="H101" s="22"/>
      <c r="I101" s="22"/>
      <c r="J101" s="22"/>
      <c r="K101" s="71"/>
      <c r="L101" s="22"/>
      <c r="M101" s="21">
        <f t="shared" si="15"/>
        <v>0</v>
      </c>
      <c r="N101" s="23"/>
      <c r="O101" s="68"/>
    </row>
    <row r="102" spans="1:19" x14ac:dyDescent="0.25">
      <c r="A102" s="25"/>
      <c r="B102" s="23"/>
      <c r="C102" s="22"/>
      <c r="D102" s="23"/>
      <c r="E102" s="22"/>
      <c r="F102" s="22"/>
      <c r="G102" s="22"/>
      <c r="H102" s="22"/>
      <c r="I102" s="22"/>
      <c r="J102" s="22"/>
      <c r="K102" s="71"/>
      <c r="L102" s="22"/>
      <c r="M102" s="21">
        <f t="shared" si="15"/>
        <v>0</v>
      </c>
      <c r="N102" s="23"/>
      <c r="O102" s="26"/>
    </row>
    <row r="103" spans="1:19" s="36" customFormat="1" x14ac:dyDescent="0.25">
      <c r="A103" s="25"/>
      <c r="B103" s="23"/>
      <c r="C103" s="22"/>
      <c r="D103" s="23"/>
      <c r="E103" s="22"/>
      <c r="F103" s="22"/>
      <c r="G103" s="22"/>
      <c r="H103" s="22"/>
      <c r="I103" s="22"/>
      <c r="J103" s="22"/>
      <c r="K103" s="71"/>
      <c r="L103" s="22"/>
      <c r="M103" s="21">
        <f t="shared" si="15"/>
        <v>0</v>
      </c>
      <c r="N103" s="23"/>
      <c r="O103" s="26"/>
      <c r="P103"/>
      <c r="Q103"/>
      <c r="R103"/>
      <c r="S103"/>
    </row>
    <row r="104" spans="1:19" x14ac:dyDescent="0.25">
      <c r="A104" s="25"/>
      <c r="B104" s="23"/>
      <c r="C104" s="22"/>
      <c r="D104" s="23"/>
      <c r="E104" s="22"/>
      <c r="F104" s="22"/>
      <c r="G104" s="22"/>
      <c r="H104" s="22"/>
      <c r="I104" s="22"/>
      <c r="J104" s="22"/>
      <c r="K104" s="71"/>
      <c r="L104" s="22"/>
      <c r="M104" s="21">
        <f t="shared" si="15"/>
        <v>0</v>
      </c>
      <c r="N104" s="23"/>
      <c r="O104" s="26"/>
    </row>
    <row r="105" spans="1:19" x14ac:dyDescent="0.25">
      <c r="A105" s="25"/>
      <c r="B105" s="23"/>
      <c r="C105" s="22"/>
      <c r="D105" s="23"/>
      <c r="E105" s="22"/>
      <c r="F105" s="22"/>
      <c r="G105" s="22"/>
      <c r="H105" s="22"/>
      <c r="I105" s="22"/>
      <c r="J105" s="22"/>
      <c r="K105" s="71"/>
      <c r="L105" s="22"/>
      <c r="M105" s="21">
        <f t="shared" si="15"/>
        <v>0</v>
      </c>
      <c r="N105" s="24"/>
      <c r="O105" s="26"/>
    </row>
    <row r="106" spans="1:19" x14ac:dyDescent="0.25">
      <c r="A106" s="25"/>
      <c r="B106" s="23"/>
      <c r="C106" s="22"/>
      <c r="D106" s="23"/>
      <c r="E106" s="22"/>
      <c r="F106" s="22"/>
      <c r="G106" s="22"/>
      <c r="H106" s="22"/>
      <c r="I106" s="22"/>
      <c r="J106" s="22"/>
      <c r="K106" s="71"/>
      <c r="L106" s="22"/>
      <c r="M106" s="21">
        <f t="shared" si="15"/>
        <v>0</v>
      </c>
      <c r="N106" s="22"/>
      <c r="O106" s="26"/>
    </row>
    <row r="107" spans="1:19" x14ac:dyDescent="0.25">
      <c r="A107" s="25"/>
      <c r="B107" s="23"/>
      <c r="C107" s="22"/>
      <c r="D107" s="23"/>
      <c r="E107" s="22"/>
      <c r="F107" s="22"/>
      <c r="G107" s="22"/>
      <c r="H107" s="22"/>
      <c r="I107" s="22"/>
      <c r="J107" s="22"/>
      <c r="K107" s="71"/>
      <c r="L107" s="22"/>
      <c r="M107" s="21">
        <f t="shared" si="15"/>
        <v>0</v>
      </c>
      <c r="N107" s="23"/>
      <c r="O107" s="26"/>
    </row>
    <row r="108" spans="1:19" x14ac:dyDescent="0.25">
      <c r="A108" s="25"/>
      <c r="B108" s="23"/>
      <c r="C108" s="22"/>
      <c r="D108" s="23"/>
      <c r="E108" s="22"/>
      <c r="F108" s="22"/>
      <c r="G108" s="22"/>
      <c r="H108" s="22"/>
      <c r="I108" s="22"/>
      <c r="J108" s="22"/>
      <c r="K108" s="71"/>
      <c r="L108" s="22"/>
      <c r="M108" s="21">
        <f t="shared" si="15"/>
        <v>0</v>
      </c>
      <c r="N108" s="23"/>
      <c r="O108" s="26"/>
    </row>
    <row r="109" spans="1:19" x14ac:dyDescent="0.25">
      <c r="A109" s="25"/>
      <c r="B109" s="23"/>
      <c r="C109" s="22"/>
      <c r="D109" s="23"/>
      <c r="E109" s="22"/>
      <c r="F109" s="22"/>
      <c r="G109" s="22"/>
      <c r="H109" s="22"/>
      <c r="I109" s="22"/>
      <c r="J109" s="22"/>
      <c r="K109" s="71"/>
      <c r="L109" s="22"/>
      <c r="M109" s="21">
        <f t="shared" si="15"/>
        <v>0</v>
      </c>
      <c r="N109" s="24"/>
      <c r="O109" s="26"/>
    </row>
    <row r="110" spans="1:19" x14ac:dyDescent="0.25">
      <c r="A110" s="25"/>
      <c r="B110" s="23"/>
      <c r="C110" s="22"/>
      <c r="D110" s="23"/>
      <c r="E110" s="22"/>
      <c r="F110" s="22"/>
      <c r="G110" s="22"/>
      <c r="H110" s="22"/>
      <c r="I110" s="22"/>
      <c r="J110" s="22"/>
      <c r="K110" s="71"/>
      <c r="L110" s="22"/>
      <c r="M110" s="21">
        <f t="shared" si="15"/>
        <v>0</v>
      </c>
      <c r="N110" s="23"/>
      <c r="O110" s="26"/>
    </row>
    <row r="111" spans="1:19" x14ac:dyDescent="0.25">
      <c r="A111" s="25"/>
      <c r="B111" s="23"/>
      <c r="C111" s="22"/>
      <c r="D111" s="23"/>
      <c r="E111" s="22"/>
      <c r="F111" s="22"/>
      <c r="G111" s="22"/>
      <c r="H111" s="22"/>
      <c r="I111" s="22"/>
      <c r="J111" s="22"/>
      <c r="K111" s="71"/>
      <c r="L111" s="22"/>
      <c r="M111" s="21">
        <f t="shared" si="15"/>
        <v>0</v>
      </c>
      <c r="N111" s="23"/>
      <c r="O111" s="26"/>
    </row>
    <row r="112" spans="1:19" x14ac:dyDescent="0.25">
      <c r="A112" s="25"/>
      <c r="B112" s="23"/>
      <c r="C112" s="22"/>
      <c r="D112" s="23"/>
      <c r="E112" s="22"/>
      <c r="F112" s="22"/>
      <c r="G112" s="22"/>
      <c r="H112" s="22"/>
      <c r="I112" s="22"/>
      <c r="J112" s="22"/>
      <c r="K112" s="71"/>
      <c r="L112" s="22"/>
      <c r="M112" s="21">
        <f t="shared" ref="M112:M174" si="19">-E112-F112-G112-H112+I112+J112+K112+L112</f>
        <v>0</v>
      </c>
      <c r="N112" s="23"/>
      <c r="O112" s="26"/>
    </row>
    <row r="113" spans="1:17" x14ac:dyDescent="0.25">
      <c r="A113" s="25"/>
      <c r="B113" s="23"/>
      <c r="C113" s="22"/>
      <c r="D113" s="23"/>
      <c r="E113" s="22"/>
      <c r="F113" s="22"/>
      <c r="G113" s="22"/>
      <c r="H113" s="22"/>
      <c r="I113" s="22"/>
      <c r="J113" s="22"/>
      <c r="K113" s="71"/>
      <c r="L113" s="22"/>
      <c r="M113" s="21">
        <f t="shared" si="19"/>
        <v>0</v>
      </c>
      <c r="N113" s="23"/>
      <c r="O113" s="26"/>
    </row>
    <row r="114" spans="1:17" x14ac:dyDescent="0.25">
      <c r="A114" s="25"/>
      <c r="B114" s="23"/>
      <c r="C114" s="22"/>
      <c r="D114" s="23"/>
      <c r="E114" s="22"/>
      <c r="F114" s="22"/>
      <c r="G114" s="22"/>
      <c r="H114" s="22"/>
      <c r="I114" s="22"/>
      <c r="J114" s="22"/>
      <c r="K114" s="71"/>
      <c r="L114" s="22"/>
      <c r="M114" s="21">
        <f t="shared" si="19"/>
        <v>0</v>
      </c>
      <c r="N114" s="23"/>
      <c r="O114" s="26"/>
    </row>
    <row r="115" spans="1:17" x14ac:dyDescent="0.25">
      <c r="A115" s="25"/>
      <c r="B115" s="23"/>
      <c r="C115" s="22"/>
      <c r="D115" s="23"/>
      <c r="E115" s="22"/>
      <c r="F115" s="22"/>
      <c r="G115" s="22"/>
      <c r="H115" s="22"/>
      <c r="I115" s="22"/>
      <c r="J115" s="22"/>
      <c r="K115" s="71"/>
      <c r="L115" s="22"/>
      <c r="M115" s="21">
        <f t="shared" si="19"/>
        <v>0</v>
      </c>
      <c r="N115" s="23"/>
      <c r="O115" s="26"/>
    </row>
    <row r="116" spans="1:17" x14ac:dyDescent="0.25">
      <c r="A116" s="25"/>
      <c r="B116" s="23"/>
      <c r="C116" s="22"/>
      <c r="D116" s="23"/>
      <c r="E116" s="22"/>
      <c r="F116" s="22"/>
      <c r="G116" s="22"/>
      <c r="H116" s="22"/>
      <c r="I116" s="22"/>
      <c r="J116" s="22"/>
      <c r="K116" s="71"/>
      <c r="L116" s="22"/>
      <c r="M116" s="21">
        <f t="shared" si="19"/>
        <v>0</v>
      </c>
      <c r="N116" s="23"/>
      <c r="O116" s="26"/>
    </row>
    <row r="117" spans="1:17" x14ac:dyDescent="0.25">
      <c r="A117" s="25"/>
      <c r="B117" s="23"/>
      <c r="C117" s="22"/>
      <c r="D117" s="23"/>
      <c r="E117" s="22"/>
      <c r="F117" s="22"/>
      <c r="G117" s="22"/>
      <c r="H117" s="22"/>
      <c r="I117" s="22"/>
      <c r="J117" s="22"/>
      <c r="K117" s="71"/>
      <c r="L117" s="22"/>
      <c r="M117" s="21">
        <f t="shared" si="19"/>
        <v>0</v>
      </c>
      <c r="N117" s="23"/>
      <c r="O117" s="26"/>
      <c r="Q117" s="67"/>
    </row>
    <row r="118" spans="1:17" x14ac:dyDescent="0.25">
      <c r="A118" s="25"/>
      <c r="B118" s="23"/>
      <c r="C118" s="22"/>
      <c r="D118" s="23"/>
      <c r="E118" s="22"/>
      <c r="F118" s="22"/>
      <c r="G118" s="22"/>
      <c r="H118" s="22"/>
      <c r="I118" s="22"/>
      <c r="J118" s="22"/>
      <c r="K118" s="71"/>
      <c r="L118" s="22"/>
      <c r="M118" s="21">
        <f t="shared" si="19"/>
        <v>0</v>
      </c>
      <c r="N118" s="23"/>
      <c r="O118" s="26"/>
    </row>
    <row r="119" spans="1:17" x14ac:dyDescent="0.25">
      <c r="A119" s="25"/>
      <c r="B119" s="23"/>
      <c r="C119" s="22"/>
      <c r="D119" s="23"/>
      <c r="E119" s="22"/>
      <c r="F119" s="22"/>
      <c r="G119" s="22"/>
      <c r="H119" s="22"/>
      <c r="I119" s="22"/>
      <c r="J119" s="22"/>
      <c r="K119" s="71"/>
      <c r="L119" s="22"/>
      <c r="M119" s="21">
        <f t="shared" si="19"/>
        <v>0</v>
      </c>
      <c r="N119" s="23"/>
      <c r="O119" s="26"/>
    </row>
    <row r="120" spans="1:17" x14ac:dyDescent="0.25">
      <c r="A120" s="25"/>
      <c r="B120" s="23"/>
      <c r="C120" s="22"/>
      <c r="D120" s="23"/>
      <c r="E120" s="22"/>
      <c r="F120" s="22"/>
      <c r="G120" s="22"/>
      <c r="H120" s="22"/>
      <c r="I120" s="22"/>
      <c r="J120" s="22"/>
      <c r="K120" s="71"/>
      <c r="L120" s="22"/>
      <c r="M120" s="21">
        <f t="shared" si="19"/>
        <v>0</v>
      </c>
      <c r="N120" s="23"/>
      <c r="O120" s="26"/>
    </row>
    <row r="121" spans="1:17" x14ac:dyDescent="0.25">
      <c r="A121" s="25"/>
      <c r="B121" s="23"/>
      <c r="C121" s="22"/>
      <c r="D121" s="23"/>
      <c r="E121" s="22"/>
      <c r="F121" s="22"/>
      <c r="G121" s="22"/>
      <c r="H121" s="22"/>
      <c r="I121" s="22"/>
      <c r="J121" s="22"/>
      <c r="K121" s="71"/>
      <c r="L121" s="22"/>
      <c r="M121" s="21">
        <f t="shared" si="19"/>
        <v>0</v>
      </c>
      <c r="N121" s="23"/>
      <c r="O121" s="26"/>
    </row>
    <row r="122" spans="1:17" x14ac:dyDescent="0.25">
      <c r="A122" s="25"/>
      <c r="B122" s="23"/>
      <c r="C122" s="22"/>
      <c r="D122" s="23"/>
      <c r="E122" s="22"/>
      <c r="F122" s="22"/>
      <c r="G122" s="22"/>
      <c r="H122" s="22"/>
      <c r="I122" s="22"/>
      <c r="J122" s="22"/>
      <c r="K122" s="71"/>
      <c r="L122" s="22"/>
      <c r="M122" s="21">
        <f t="shared" si="19"/>
        <v>0</v>
      </c>
      <c r="N122" s="23"/>
      <c r="O122" s="26"/>
    </row>
    <row r="123" spans="1:17" x14ac:dyDescent="0.25">
      <c r="A123" s="25"/>
      <c r="B123" s="23"/>
      <c r="C123" s="22"/>
      <c r="D123" s="23"/>
      <c r="E123" s="22"/>
      <c r="F123" s="22"/>
      <c r="G123" s="22"/>
      <c r="H123" s="22"/>
      <c r="I123" s="22"/>
      <c r="J123" s="22"/>
      <c r="K123" s="71"/>
      <c r="L123" s="22"/>
      <c r="M123" s="21">
        <f t="shared" si="19"/>
        <v>0</v>
      </c>
      <c r="N123" s="23"/>
      <c r="O123" s="26"/>
    </row>
    <row r="124" spans="1:17" x14ac:dyDescent="0.25">
      <c r="A124" s="25"/>
      <c r="B124" s="23"/>
      <c r="C124" s="22"/>
      <c r="D124" s="23"/>
      <c r="E124" s="22"/>
      <c r="F124" s="22"/>
      <c r="G124" s="22"/>
      <c r="H124" s="22"/>
      <c r="I124" s="22"/>
      <c r="J124" s="22"/>
      <c r="K124" s="71"/>
      <c r="L124" s="22"/>
      <c r="M124" s="21">
        <f t="shared" si="19"/>
        <v>0</v>
      </c>
      <c r="N124" s="23"/>
      <c r="O124" s="26"/>
    </row>
    <row r="125" spans="1:17" x14ac:dyDescent="0.25">
      <c r="A125" s="25"/>
      <c r="B125" s="23"/>
      <c r="C125" s="22"/>
      <c r="D125" s="23"/>
      <c r="E125" s="22"/>
      <c r="F125" s="22"/>
      <c r="G125" s="22"/>
      <c r="H125" s="22"/>
      <c r="I125" s="22"/>
      <c r="J125" s="22"/>
      <c r="K125" s="71"/>
      <c r="L125" s="22"/>
      <c r="M125" s="21">
        <f t="shared" si="19"/>
        <v>0</v>
      </c>
      <c r="N125" s="23"/>
      <c r="O125" s="26"/>
    </row>
    <row r="126" spans="1:17" x14ac:dyDescent="0.25">
      <c r="A126" s="25"/>
      <c r="B126" s="23"/>
      <c r="C126" s="22"/>
      <c r="D126" s="23"/>
      <c r="E126" s="22"/>
      <c r="F126" s="22"/>
      <c r="G126" s="22"/>
      <c r="H126" s="22"/>
      <c r="I126" s="22"/>
      <c r="J126" s="22"/>
      <c r="K126" s="71"/>
      <c r="L126" s="22"/>
      <c r="M126" s="21">
        <f t="shared" si="19"/>
        <v>0</v>
      </c>
      <c r="N126" s="23"/>
      <c r="O126" s="26"/>
    </row>
    <row r="127" spans="1:17" x14ac:dyDescent="0.25">
      <c r="A127" s="25"/>
      <c r="B127" s="23"/>
      <c r="C127" s="22"/>
      <c r="D127" s="23"/>
      <c r="E127" s="22"/>
      <c r="F127" s="22"/>
      <c r="G127" s="22"/>
      <c r="H127" s="22"/>
      <c r="I127" s="22"/>
      <c r="J127" s="22"/>
      <c r="K127" s="71"/>
      <c r="L127" s="22"/>
      <c r="M127" s="21">
        <f t="shared" si="19"/>
        <v>0</v>
      </c>
      <c r="N127" s="23"/>
      <c r="O127" s="26"/>
    </row>
    <row r="128" spans="1:17" x14ac:dyDescent="0.25">
      <c r="A128" s="25"/>
      <c r="B128" s="23"/>
      <c r="C128" s="22"/>
      <c r="D128" s="23"/>
      <c r="E128" s="22"/>
      <c r="F128" s="22"/>
      <c r="G128" s="22"/>
      <c r="H128" s="22"/>
      <c r="I128" s="22"/>
      <c r="J128" s="22"/>
      <c r="K128" s="71"/>
      <c r="L128" s="22"/>
      <c r="M128" s="21">
        <f t="shared" si="19"/>
        <v>0</v>
      </c>
      <c r="N128" s="23"/>
      <c r="O128" s="26"/>
    </row>
    <row r="129" spans="1:15" x14ac:dyDescent="0.25">
      <c r="A129" s="25"/>
      <c r="B129" s="23"/>
      <c r="C129" s="22"/>
      <c r="D129" s="23"/>
      <c r="E129" s="22"/>
      <c r="F129" s="22"/>
      <c r="G129" s="22"/>
      <c r="H129" s="22"/>
      <c r="I129" s="22"/>
      <c r="J129" s="22"/>
      <c r="K129" s="71"/>
      <c r="L129" s="22"/>
      <c r="M129" s="21">
        <f t="shared" si="19"/>
        <v>0</v>
      </c>
      <c r="N129" s="23"/>
      <c r="O129" s="26"/>
    </row>
    <row r="130" spans="1:15" x14ac:dyDescent="0.25">
      <c r="A130" s="25"/>
      <c r="B130" s="23"/>
      <c r="C130" s="22"/>
      <c r="D130" s="23"/>
      <c r="E130" s="22"/>
      <c r="F130" s="22"/>
      <c r="G130" s="22"/>
      <c r="H130" s="22"/>
      <c r="I130" s="22"/>
      <c r="J130" s="22"/>
      <c r="K130" s="71"/>
      <c r="L130" s="22"/>
      <c r="M130" s="21">
        <f t="shared" si="19"/>
        <v>0</v>
      </c>
      <c r="N130" s="23"/>
      <c r="O130" s="26"/>
    </row>
    <row r="131" spans="1:15" x14ac:dyDescent="0.25">
      <c r="A131" s="25"/>
      <c r="B131" s="23"/>
      <c r="C131" s="22"/>
      <c r="D131" s="23"/>
      <c r="E131" s="22"/>
      <c r="F131" s="22"/>
      <c r="G131" s="22"/>
      <c r="H131" s="22"/>
      <c r="I131" s="22"/>
      <c r="J131" s="22"/>
      <c r="K131" s="71"/>
      <c r="L131" s="22"/>
      <c r="M131" s="21">
        <f t="shared" si="19"/>
        <v>0</v>
      </c>
      <c r="N131" s="23"/>
      <c r="O131" s="26"/>
    </row>
    <row r="132" spans="1:15" x14ac:dyDescent="0.25">
      <c r="A132" s="25"/>
      <c r="B132" s="23"/>
      <c r="C132" s="22"/>
      <c r="D132" s="23"/>
      <c r="E132" s="22"/>
      <c r="F132" s="22"/>
      <c r="G132" s="22"/>
      <c r="H132" s="22"/>
      <c r="I132" s="22"/>
      <c r="J132" s="22"/>
      <c r="K132" s="71"/>
      <c r="L132" s="22"/>
      <c r="M132" s="21">
        <f t="shared" si="19"/>
        <v>0</v>
      </c>
      <c r="N132" s="23"/>
      <c r="O132" s="26"/>
    </row>
    <row r="133" spans="1:15" x14ac:dyDescent="0.25">
      <c r="A133" s="25"/>
      <c r="B133" s="23"/>
      <c r="C133" s="22"/>
      <c r="D133" s="23"/>
      <c r="E133" s="22"/>
      <c r="F133" s="22"/>
      <c r="G133" s="22"/>
      <c r="H133" s="22"/>
      <c r="I133" s="22"/>
      <c r="J133" s="22"/>
      <c r="K133" s="71"/>
      <c r="L133" s="22"/>
      <c r="M133" s="21">
        <f t="shared" si="19"/>
        <v>0</v>
      </c>
      <c r="N133" s="23"/>
      <c r="O133" s="26"/>
    </row>
    <row r="134" spans="1:15" x14ac:dyDescent="0.25">
      <c r="A134" s="25"/>
      <c r="B134" s="23"/>
      <c r="C134" s="22"/>
      <c r="D134" s="23"/>
      <c r="E134" s="22"/>
      <c r="F134" s="22"/>
      <c r="G134" s="22"/>
      <c r="H134" s="22"/>
      <c r="I134" s="22"/>
      <c r="J134" s="22"/>
      <c r="K134" s="71"/>
      <c r="L134" s="22"/>
      <c r="M134" s="21">
        <f t="shared" si="19"/>
        <v>0</v>
      </c>
      <c r="N134" s="23"/>
      <c r="O134" s="26"/>
    </row>
    <row r="135" spans="1:15" x14ac:dyDescent="0.25">
      <c r="A135" s="25"/>
      <c r="B135" s="23"/>
      <c r="C135" s="22"/>
      <c r="D135" s="23"/>
      <c r="E135" s="22"/>
      <c r="F135" s="22"/>
      <c r="G135" s="22"/>
      <c r="H135" s="22"/>
      <c r="I135" s="22"/>
      <c r="J135" s="22"/>
      <c r="K135" s="71"/>
      <c r="L135" s="22"/>
      <c r="M135" s="21">
        <f t="shared" si="19"/>
        <v>0</v>
      </c>
      <c r="N135" s="23"/>
      <c r="O135" s="26"/>
    </row>
    <row r="136" spans="1:15" x14ac:dyDescent="0.25">
      <c r="A136" s="25"/>
      <c r="B136" s="23"/>
      <c r="C136" s="22"/>
      <c r="D136" s="23"/>
      <c r="E136" s="22"/>
      <c r="F136" s="22"/>
      <c r="G136" s="22"/>
      <c r="H136" s="22"/>
      <c r="I136" s="22"/>
      <c r="J136" s="22"/>
      <c r="K136" s="71"/>
      <c r="L136" s="22"/>
      <c r="M136" s="21">
        <f t="shared" si="19"/>
        <v>0</v>
      </c>
      <c r="N136" s="23"/>
      <c r="O136" s="26"/>
    </row>
    <row r="137" spans="1:15" x14ac:dyDescent="0.25">
      <c r="A137" s="25"/>
      <c r="B137" s="23"/>
      <c r="C137" s="22"/>
      <c r="D137" s="23"/>
      <c r="E137" s="22"/>
      <c r="F137" s="22"/>
      <c r="G137" s="22"/>
      <c r="H137" s="22"/>
      <c r="I137" s="22"/>
      <c r="J137" s="22"/>
      <c r="K137" s="71"/>
      <c r="L137" s="22"/>
      <c r="M137" s="21">
        <f t="shared" si="19"/>
        <v>0</v>
      </c>
      <c r="N137" s="23"/>
      <c r="O137" s="26"/>
    </row>
    <row r="138" spans="1:15" x14ac:dyDescent="0.25">
      <c r="A138" s="25"/>
      <c r="B138" s="23"/>
      <c r="C138" s="22"/>
      <c r="D138" s="23"/>
      <c r="E138" s="22"/>
      <c r="F138" s="22"/>
      <c r="G138" s="22"/>
      <c r="H138" s="22"/>
      <c r="I138" s="22"/>
      <c r="J138" s="22"/>
      <c r="K138" s="71"/>
      <c r="L138" s="22"/>
      <c r="M138" s="21">
        <f t="shared" si="19"/>
        <v>0</v>
      </c>
      <c r="N138" s="23"/>
      <c r="O138" s="26"/>
    </row>
    <row r="139" spans="1:15" x14ac:dyDescent="0.25">
      <c r="A139" s="25"/>
      <c r="B139" s="23"/>
      <c r="C139" s="22"/>
      <c r="D139" s="23"/>
      <c r="E139" s="22"/>
      <c r="F139" s="22"/>
      <c r="G139" s="22"/>
      <c r="H139" s="22"/>
      <c r="I139" s="22"/>
      <c r="J139" s="22"/>
      <c r="K139" s="71"/>
      <c r="L139" s="22"/>
      <c r="M139" s="21">
        <f t="shared" si="19"/>
        <v>0</v>
      </c>
      <c r="N139" s="23"/>
      <c r="O139" s="26"/>
    </row>
    <row r="140" spans="1:15" x14ac:dyDescent="0.25">
      <c r="A140" s="25"/>
      <c r="B140" s="23"/>
      <c r="C140" s="22"/>
      <c r="D140" s="23"/>
      <c r="E140" s="22"/>
      <c r="F140" s="22"/>
      <c r="G140" s="22"/>
      <c r="H140" s="22"/>
      <c r="I140" s="22"/>
      <c r="J140" s="22"/>
      <c r="K140" s="71"/>
      <c r="L140" s="22"/>
      <c r="M140" s="21">
        <f t="shared" si="19"/>
        <v>0</v>
      </c>
      <c r="N140" s="23"/>
      <c r="O140" s="26"/>
    </row>
    <row r="141" spans="1:15" x14ac:dyDescent="0.25">
      <c r="A141" s="25"/>
      <c r="B141" s="23"/>
      <c r="C141" s="22"/>
      <c r="D141" s="23"/>
      <c r="E141" s="22"/>
      <c r="F141" s="22"/>
      <c r="G141" s="22"/>
      <c r="H141" s="22"/>
      <c r="I141" s="22"/>
      <c r="J141" s="22"/>
      <c r="K141" s="71"/>
      <c r="L141" s="22"/>
      <c r="M141" s="21">
        <f t="shared" si="19"/>
        <v>0</v>
      </c>
      <c r="N141" s="23"/>
      <c r="O141" s="26"/>
    </row>
    <row r="142" spans="1:15" x14ac:dyDescent="0.25">
      <c r="A142" s="25"/>
      <c r="B142" s="23"/>
      <c r="C142" s="22"/>
      <c r="D142" s="23"/>
      <c r="E142" s="22"/>
      <c r="F142" s="22"/>
      <c r="G142" s="22"/>
      <c r="H142" s="22"/>
      <c r="I142" s="22"/>
      <c r="J142" s="22"/>
      <c r="K142" s="71"/>
      <c r="L142" s="22"/>
      <c r="M142" s="21">
        <f t="shared" si="19"/>
        <v>0</v>
      </c>
      <c r="N142" s="23"/>
      <c r="O142" s="26"/>
    </row>
    <row r="143" spans="1:15" x14ac:dyDescent="0.25">
      <c r="A143" s="25"/>
      <c r="B143" s="23"/>
      <c r="C143" s="22"/>
      <c r="D143" s="23"/>
      <c r="E143" s="22"/>
      <c r="F143" s="22"/>
      <c r="G143" s="22"/>
      <c r="H143" s="22"/>
      <c r="I143" s="22"/>
      <c r="J143" s="22"/>
      <c r="K143" s="71"/>
      <c r="L143" s="22"/>
      <c r="M143" s="21">
        <f t="shared" si="19"/>
        <v>0</v>
      </c>
      <c r="N143" s="23"/>
      <c r="O143" s="26"/>
    </row>
    <row r="144" spans="1:15" x14ac:dyDescent="0.25">
      <c r="A144" s="25"/>
      <c r="B144" s="23"/>
      <c r="C144" s="22"/>
      <c r="D144" s="23"/>
      <c r="E144" s="22"/>
      <c r="F144" s="22"/>
      <c r="G144" s="22"/>
      <c r="H144" s="22"/>
      <c r="I144" s="22"/>
      <c r="J144" s="22"/>
      <c r="K144" s="71"/>
      <c r="L144" s="22"/>
      <c r="M144" s="21">
        <f t="shared" si="19"/>
        <v>0</v>
      </c>
      <c r="N144" s="23"/>
      <c r="O144" s="26"/>
    </row>
    <row r="145" spans="1:15" x14ac:dyDescent="0.25">
      <c r="A145" s="25"/>
      <c r="B145" s="23"/>
      <c r="C145" s="22"/>
      <c r="D145" s="23"/>
      <c r="E145" s="22"/>
      <c r="F145" s="22"/>
      <c r="G145" s="22"/>
      <c r="H145" s="22"/>
      <c r="I145" s="22"/>
      <c r="J145" s="22"/>
      <c r="K145" s="71"/>
      <c r="L145" s="22"/>
      <c r="M145" s="21">
        <f t="shared" si="19"/>
        <v>0</v>
      </c>
      <c r="N145" s="23"/>
      <c r="O145" s="26"/>
    </row>
    <row r="146" spans="1:15" x14ac:dyDescent="0.25">
      <c r="A146" s="25"/>
      <c r="B146" s="23"/>
      <c r="C146" s="22"/>
      <c r="D146" s="23"/>
      <c r="E146" s="22"/>
      <c r="F146" s="22"/>
      <c r="G146" s="22"/>
      <c r="H146" s="22"/>
      <c r="I146" s="22"/>
      <c r="J146" s="22"/>
      <c r="K146" s="71"/>
      <c r="L146" s="22"/>
      <c r="M146" s="21">
        <f t="shared" si="19"/>
        <v>0</v>
      </c>
      <c r="N146" s="23"/>
      <c r="O146" s="26"/>
    </row>
    <row r="147" spans="1:15" x14ac:dyDescent="0.25">
      <c r="A147" s="25"/>
      <c r="B147" s="23"/>
      <c r="C147" s="22"/>
      <c r="D147" s="23"/>
      <c r="E147" s="22"/>
      <c r="F147" s="22"/>
      <c r="G147" s="22"/>
      <c r="H147" s="22"/>
      <c r="I147" s="22"/>
      <c r="J147" s="22"/>
      <c r="K147" s="71"/>
      <c r="L147" s="22"/>
      <c r="M147" s="21">
        <f t="shared" si="19"/>
        <v>0</v>
      </c>
      <c r="N147" s="23"/>
      <c r="O147" s="26"/>
    </row>
    <row r="148" spans="1:15" x14ac:dyDescent="0.25">
      <c r="A148" s="25"/>
      <c r="B148" s="23"/>
      <c r="C148" s="22"/>
      <c r="D148" s="23"/>
      <c r="E148" s="22"/>
      <c r="F148" s="22"/>
      <c r="G148" s="22"/>
      <c r="H148" s="22"/>
      <c r="I148" s="22"/>
      <c r="J148" s="22"/>
      <c r="K148" s="71"/>
      <c r="L148" s="22"/>
      <c r="M148" s="21">
        <f t="shared" si="19"/>
        <v>0</v>
      </c>
      <c r="N148" s="23"/>
      <c r="O148" s="26"/>
    </row>
    <row r="149" spans="1:15" x14ac:dyDescent="0.25">
      <c r="A149" s="25"/>
      <c r="B149" s="23"/>
      <c r="C149" s="22"/>
      <c r="D149" s="23"/>
      <c r="E149" s="22"/>
      <c r="F149" s="22"/>
      <c r="G149" s="22"/>
      <c r="H149" s="22"/>
      <c r="I149" s="22"/>
      <c r="J149" s="22"/>
      <c r="K149" s="71"/>
      <c r="L149" s="22"/>
      <c r="M149" s="21">
        <f t="shared" si="19"/>
        <v>0</v>
      </c>
      <c r="N149" s="23"/>
      <c r="O149" s="26"/>
    </row>
    <row r="150" spans="1:15" x14ac:dyDescent="0.25">
      <c r="A150" s="25"/>
      <c r="B150" s="23"/>
      <c r="C150" s="22"/>
      <c r="D150" s="23"/>
      <c r="E150" s="22"/>
      <c r="F150" s="22"/>
      <c r="G150" s="22"/>
      <c r="H150" s="22"/>
      <c r="I150" s="22"/>
      <c r="J150" s="22"/>
      <c r="K150" s="71"/>
      <c r="L150" s="22"/>
      <c r="M150" s="21">
        <f t="shared" si="19"/>
        <v>0</v>
      </c>
      <c r="N150" s="23"/>
      <c r="O150" s="26"/>
    </row>
    <row r="151" spans="1:15" x14ac:dyDescent="0.25">
      <c r="A151" s="25"/>
      <c r="B151" s="23"/>
      <c r="C151" s="22"/>
      <c r="D151" s="23"/>
      <c r="E151" s="22"/>
      <c r="F151" s="22"/>
      <c r="G151" s="22"/>
      <c r="H151" s="22"/>
      <c r="I151" s="22"/>
      <c r="J151" s="22"/>
      <c r="K151" s="71"/>
      <c r="L151" s="22"/>
      <c r="M151" s="21">
        <f t="shared" si="19"/>
        <v>0</v>
      </c>
      <c r="N151" s="23"/>
      <c r="O151" s="26"/>
    </row>
    <row r="152" spans="1:15" x14ac:dyDescent="0.25">
      <c r="A152" s="25"/>
      <c r="B152" s="23"/>
      <c r="C152" s="22"/>
      <c r="D152" s="23"/>
      <c r="E152" s="22"/>
      <c r="F152" s="22"/>
      <c r="G152" s="22"/>
      <c r="H152" s="22"/>
      <c r="I152" s="22"/>
      <c r="J152" s="22"/>
      <c r="K152" s="71"/>
      <c r="L152" s="22"/>
      <c r="M152" s="21">
        <f t="shared" si="19"/>
        <v>0</v>
      </c>
      <c r="N152" s="23"/>
      <c r="O152" s="26"/>
    </row>
    <row r="153" spans="1:15" x14ac:dyDescent="0.25">
      <c r="A153" s="25"/>
      <c r="B153" s="23"/>
      <c r="C153" s="22"/>
      <c r="D153" s="23"/>
      <c r="E153" s="22"/>
      <c r="F153" s="22"/>
      <c r="G153" s="22"/>
      <c r="H153" s="22"/>
      <c r="I153" s="22"/>
      <c r="J153" s="22"/>
      <c r="K153" s="71"/>
      <c r="L153" s="22"/>
      <c r="M153" s="21">
        <f t="shared" si="19"/>
        <v>0</v>
      </c>
      <c r="N153" s="23"/>
      <c r="O153" s="26"/>
    </row>
    <row r="154" spans="1:15" x14ac:dyDescent="0.25">
      <c r="A154" s="25"/>
      <c r="B154" s="23"/>
      <c r="C154" s="22"/>
      <c r="D154" s="23"/>
      <c r="E154" s="22"/>
      <c r="F154" s="22"/>
      <c r="G154" s="22"/>
      <c r="H154" s="22"/>
      <c r="I154" s="22"/>
      <c r="J154" s="22"/>
      <c r="K154" s="71"/>
      <c r="L154" s="22"/>
      <c r="M154" s="21">
        <f t="shared" si="19"/>
        <v>0</v>
      </c>
      <c r="N154" s="23"/>
      <c r="O154" s="26"/>
    </row>
    <row r="155" spans="1:15" x14ac:dyDescent="0.25">
      <c r="A155" s="25"/>
      <c r="B155" s="23"/>
      <c r="C155" s="22"/>
      <c r="D155" s="23"/>
      <c r="E155" s="22"/>
      <c r="F155" s="22"/>
      <c r="G155" s="22"/>
      <c r="H155" s="22"/>
      <c r="I155" s="22"/>
      <c r="J155" s="22"/>
      <c r="K155" s="71"/>
      <c r="L155" s="22"/>
      <c r="M155" s="21">
        <f t="shared" si="19"/>
        <v>0</v>
      </c>
      <c r="N155" s="23"/>
      <c r="O155" s="26"/>
    </row>
    <row r="156" spans="1:15" x14ac:dyDescent="0.25">
      <c r="A156" s="25"/>
      <c r="B156" s="23"/>
      <c r="C156" s="22"/>
      <c r="D156" s="23"/>
      <c r="E156" s="22"/>
      <c r="F156" s="22"/>
      <c r="G156" s="22"/>
      <c r="H156" s="22"/>
      <c r="I156" s="22"/>
      <c r="J156" s="22"/>
      <c r="K156" s="71"/>
      <c r="L156" s="22"/>
      <c r="M156" s="21">
        <f t="shared" si="19"/>
        <v>0</v>
      </c>
      <c r="N156" s="23"/>
      <c r="O156" s="26"/>
    </row>
    <row r="157" spans="1:15" x14ac:dyDescent="0.25">
      <c r="A157" s="25"/>
      <c r="B157" s="23"/>
      <c r="C157" s="22"/>
      <c r="D157" s="23"/>
      <c r="E157" s="22"/>
      <c r="F157" s="22"/>
      <c r="G157" s="22"/>
      <c r="H157" s="22"/>
      <c r="I157" s="22"/>
      <c r="J157" s="22"/>
      <c r="K157" s="71"/>
      <c r="L157" s="22"/>
      <c r="M157" s="21">
        <f t="shared" si="19"/>
        <v>0</v>
      </c>
      <c r="N157" s="23"/>
      <c r="O157" s="26"/>
    </row>
    <row r="158" spans="1:15" x14ac:dyDescent="0.25">
      <c r="A158" s="25"/>
      <c r="B158" s="23"/>
      <c r="C158" s="22"/>
      <c r="D158" s="23"/>
      <c r="E158" s="22"/>
      <c r="F158" s="22"/>
      <c r="G158" s="22"/>
      <c r="H158" s="22"/>
      <c r="I158" s="22"/>
      <c r="J158" s="22"/>
      <c r="K158" s="71"/>
      <c r="L158" s="22"/>
      <c r="M158" s="21">
        <f t="shared" si="19"/>
        <v>0</v>
      </c>
      <c r="N158" s="23"/>
      <c r="O158" s="26"/>
    </row>
    <row r="159" spans="1:15" x14ac:dyDescent="0.25">
      <c r="A159" s="25"/>
      <c r="B159" s="23"/>
      <c r="C159" s="22"/>
      <c r="D159" s="23"/>
      <c r="E159" s="22"/>
      <c r="F159" s="22"/>
      <c r="G159" s="22"/>
      <c r="H159" s="22"/>
      <c r="I159" s="22"/>
      <c r="J159" s="22"/>
      <c r="K159" s="71"/>
      <c r="L159" s="22"/>
      <c r="M159" s="21">
        <f t="shared" si="19"/>
        <v>0</v>
      </c>
      <c r="N159" s="23"/>
      <c r="O159" s="26"/>
    </row>
    <row r="160" spans="1:15" x14ac:dyDescent="0.25">
      <c r="A160" s="25"/>
      <c r="B160" s="23"/>
      <c r="C160" s="22"/>
      <c r="D160" s="23"/>
      <c r="E160" s="22"/>
      <c r="F160" s="22"/>
      <c r="G160" s="22"/>
      <c r="H160" s="22"/>
      <c r="I160" s="22"/>
      <c r="J160" s="22"/>
      <c r="K160" s="71"/>
      <c r="L160" s="22"/>
      <c r="M160" s="21">
        <f t="shared" si="19"/>
        <v>0</v>
      </c>
      <c r="N160" s="23"/>
      <c r="O160" s="26"/>
    </row>
    <row r="161" spans="1:15" x14ac:dyDescent="0.25">
      <c r="A161" s="25"/>
      <c r="B161" s="23"/>
      <c r="C161" s="22"/>
      <c r="D161" s="23"/>
      <c r="E161" s="22"/>
      <c r="F161" s="22"/>
      <c r="G161" s="22"/>
      <c r="H161" s="22"/>
      <c r="I161" s="22"/>
      <c r="J161" s="22"/>
      <c r="K161" s="71"/>
      <c r="L161" s="22"/>
      <c r="M161" s="21">
        <f t="shared" si="19"/>
        <v>0</v>
      </c>
      <c r="N161" s="23"/>
      <c r="O161" s="26"/>
    </row>
    <row r="162" spans="1:15" x14ac:dyDescent="0.25">
      <c r="A162" s="25"/>
      <c r="B162" s="23"/>
      <c r="C162" s="22"/>
      <c r="D162" s="23"/>
      <c r="E162" s="22"/>
      <c r="F162" s="22"/>
      <c r="G162" s="22"/>
      <c r="H162" s="22"/>
      <c r="I162" s="22"/>
      <c r="J162" s="22"/>
      <c r="K162" s="71"/>
      <c r="L162" s="22"/>
      <c r="M162" s="21">
        <f t="shared" si="19"/>
        <v>0</v>
      </c>
      <c r="N162" s="23"/>
      <c r="O162" s="26"/>
    </row>
    <row r="163" spans="1:15" x14ac:dyDescent="0.25">
      <c r="A163" s="25"/>
      <c r="B163" s="23"/>
      <c r="C163" s="22"/>
      <c r="D163" s="23"/>
      <c r="E163" s="22"/>
      <c r="F163" s="22"/>
      <c r="G163" s="22"/>
      <c r="H163" s="22"/>
      <c r="I163" s="22"/>
      <c r="J163" s="22"/>
      <c r="K163" s="71"/>
      <c r="L163" s="22"/>
      <c r="M163" s="21">
        <f t="shared" si="19"/>
        <v>0</v>
      </c>
      <c r="N163" s="23"/>
      <c r="O163" s="26"/>
    </row>
    <row r="164" spans="1:15" x14ac:dyDescent="0.25">
      <c r="A164" s="25"/>
      <c r="B164" s="23"/>
      <c r="C164" s="22"/>
      <c r="D164" s="23"/>
      <c r="E164" s="22"/>
      <c r="F164" s="22"/>
      <c r="G164" s="22"/>
      <c r="H164" s="22"/>
      <c r="I164" s="22"/>
      <c r="J164" s="22"/>
      <c r="K164" s="71"/>
      <c r="L164" s="22"/>
      <c r="M164" s="21">
        <f t="shared" si="19"/>
        <v>0</v>
      </c>
      <c r="N164" s="23"/>
      <c r="O164" s="26"/>
    </row>
    <row r="165" spans="1:15" x14ac:dyDescent="0.25">
      <c r="A165" s="25"/>
      <c r="B165" s="23"/>
      <c r="C165" s="22"/>
      <c r="D165" s="23"/>
      <c r="E165" s="22"/>
      <c r="F165" s="22"/>
      <c r="G165" s="22"/>
      <c r="H165" s="22"/>
      <c r="I165" s="22"/>
      <c r="J165" s="22"/>
      <c r="K165" s="71"/>
      <c r="L165" s="22"/>
      <c r="M165" s="21">
        <f t="shared" si="19"/>
        <v>0</v>
      </c>
      <c r="N165" s="23"/>
      <c r="O165" s="26"/>
    </row>
    <row r="166" spans="1:15" x14ac:dyDescent="0.25">
      <c r="A166" s="25"/>
      <c r="B166" s="23"/>
      <c r="C166" s="22"/>
      <c r="D166" s="23"/>
      <c r="E166" s="22"/>
      <c r="F166" s="22"/>
      <c r="G166" s="22"/>
      <c r="H166" s="22"/>
      <c r="I166" s="22"/>
      <c r="J166" s="22"/>
      <c r="K166" s="71"/>
      <c r="L166" s="22"/>
      <c r="M166" s="21">
        <f t="shared" si="19"/>
        <v>0</v>
      </c>
      <c r="N166" s="23"/>
      <c r="O166" s="26"/>
    </row>
    <row r="167" spans="1:15" x14ac:dyDescent="0.25">
      <c r="A167" s="25"/>
      <c r="B167" s="23"/>
      <c r="C167" s="22"/>
      <c r="D167" s="23"/>
      <c r="E167" s="22"/>
      <c r="F167" s="22"/>
      <c r="G167" s="22"/>
      <c r="H167" s="22"/>
      <c r="I167" s="22"/>
      <c r="J167" s="22"/>
      <c r="K167" s="71"/>
      <c r="L167" s="22"/>
      <c r="M167" s="21">
        <f t="shared" si="19"/>
        <v>0</v>
      </c>
      <c r="N167" s="23"/>
      <c r="O167" s="26"/>
    </row>
    <row r="168" spans="1:15" x14ac:dyDescent="0.25">
      <c r="A168" s="25"/>
      <c r="B168" s="23"/>
      <c r="C168" s="22"/>
      <c r="D168" s="23"/>
      <c r="E168" s="22"/>
      <c r="F168" s="22"/>
      <c r="G168" s="22"/>
      <c r="H168" s="22"/>
      <c r="I168" s="22"/>
      <c r="J168" s="22"/>
      <c r="K168" s="71"/>
      <c r="L168" s="22"/>
      <c r="M168" s="21">
        <f t="shared" si="19"/>
        <v>0</v>
      </c>
      <c r="N168" s="23"/>
      <c r="O168" s="26"/>
    </row>
    <row r="169" spans="1:15" x14ac:dyDescent="0.25">
      <c r="A169" s="25"/>
      <c r="B169" s="23"/>
      <c r="C169" s="22"/>
      <c r="D169" s="23"/>
      <c r="E169" s="22"/>
      <c r="F169" s="22"/>
      <c r="G169" s="22"/>
      <c r="H169" s="22"/>
      <c r="I169" s="22"/>
      <c r="J169" s="22"/>
      <c r="K169" s="71"/>
      <c r="L169" s="22"/>
      <c r="M169" s="21">
        <f t="shared" si="19"/>
        <v>0</v>
      </c>
      <c r="N169" s="23"/>
      <c r="O169" s="26"/>
    </row>
    <row r="170" spans="1:15" x14ac:dyDescent="0.25">
      <c r="A170" s="25"/>
      <c r="B170" s="23"/>
      <c r="C170" s="22"/>
      <c r="D170" s="23"/>
      <c r="E170" s="22"/>
      <c r="F170" s="22"/>
      <c r="G170" s="22"/>
      <c r="H170" s="22"/>
      <c r="I170" s="22"/>
      <c r="J170" s="22"/>
      <c r="K170" s="71"/>
      <c r="L170" s="22"/>
      <c r="M170" s="21">
        <f t="shared" si="19"/>
        <v>0</v>
      </c>
      <c r="N170" s="23"/>
      <c r="O170" s="26"/>
    </row>
    <row r="171" spans="1:15" x14ac:dyDescent="0.25">
      <c r="A171" s="25"/>
      <c r="B171" s="23"/>
      <c r="C171" s="22"/>
      <c r="D171" s="23"/>
      <c r="E171" s="22"/>
      <c r="F171" s="22"/>
      <c r="G171" s="22"/>
      <c r="H171" s="22"/>
      <c r="I171" s="22"/>
      <c r="J171" s="22"/>
      <c r="K171" s="71"/>
      <c r="L171" s="22"/>
      <c r="M171" s="21">
        <f t="shared" si="19"/>
        <v>0</v>
      </c>
      <c r="N171" s="23"/>
      <c r="O171" s="26"/>
    </row>
    <row r="172" spans="1:15" x14ac:dyDescent="0.25">
      <c r="A172" s="25"/>
      <c r="B172" s="23"/>
      <c r="C172" s="22"/>
      <c r="D172" s="23"/>
      <c r="E172" s="22"/>
      <c r="F172" s="22"/>
      <c r="G172" s="22"/>
      <c r="H172" s="22"/>
      <c r="I172" s="22"/>
      <c r="J172" s="22"/>
      <c r="K172" s="71"/>
      <c r="L172" s="22"/>
      <c r="M172" s="21">
        <f t="shared" si="19"/>
        <v>0</v>
      </c>
      <c r="N172" s="23"/>
      <c r="O172" s="26"/>
    </row>
    <row r="173" spans="1:15" x14ac:dyDescent="0.25">
      <c r="A173" s="25"/>
      <c r="B173" s="23"/>
      <c r="C173" s="22"/>
      <c r="D173" s="23"/>
      <c r="E173" s="22"/>
      <c r="F173" s="22"/>
      <c r="G173" s="22"/>
      <c r="H173" s="22"/>
      <c r="I173" s="22"/>
      <c r="J173" s="22"/>
      <c r="K173" s="71"/>
      <c r="L173" s="22"/>
      <c r="M173" s="21">
        <f t="shared" si="19"/>
        <v>0</v>
      </c>
      <c r="N173" s="23"/>
      <c r="O173" s="26"/>
    </row>
    <row r="174" spans="1:15" x14ac:dyDescent="0.25">
      <c r="A174" s="25"/>
      <c r="B174" s="23"/>
      <c r="C174" s="22"/>
      <c r="D174" s="23"/>
      <c r="E174" s="22"/>
      <c r="F174" s="22"/>
      <c r="G174" s="22"/>
      <c r="H174" s="22"/>
      <c r="I174" s="22"/>
      <c r="J174" s="22"/>
      <c r="K174" s="71"/>
      <c r="L174" s="22"/>
      <c r="M174" s="21">
        <f t="shared" si="19"/>
        <v>0</v>
      </c>
      <c r="N174" s="23"/>
      <c r="O174" s="26"/>
    </row>
    <row r="175" spans="1:15" x14ac:dyDescent="0.25">
      <c r="A175" s="25"/>
      <c r="B175" s="23"/>
      <c r="C175" s="22"/>
      <c r="D175" s="23"/>
      <c r="E175" s="22"/>
      <c r="F175" s="22"/>
      <c r="G175" s="22"/>
      <c r="H175" s="22"/>
      <c r="I175" s="22"/>
      <c r="J175" s="22"/>
      <c r="K175" s="71"/>
      <c r="L175" s="22"/>
      <c r="M175" s="21">
        <f t="shared" ref="M175:M210" si="20">-E175-F175-G175-H175+I175+J175+K175+L175</f>
        <v>0</v>
      </c>
      <c r="N175" s="23"/>
      <c r="O175" s="26"/>
    </row>
    <row r="176" spans="1:15" x14ac:dyDescent="0.25">
      <c r="A176" s="25"/>
      <c r="B176" s="23"/>
      <c r="C176" s="22"/>
      <c r="D176" s="23"/>
      <c r="E176" s="22"/>
      <c r="F176" s="22"/>
      <c r="G176" s="22"/>
      <c r="H176" s="22"/>
      <c r="I176" s="22"/>
      <c r="J176" s="22"/>
      <c r="K176" s="71"/>
      <c r="L176" s="22"/>
      <c r="M176" s="21">
        <f t="shared" si="20"/>
        <v>0</v>
      </c>
      <c r="N176" s="23"/>
      <c r="O176" s="26"/>
    </row>
    <row r="177" spans="1:15" x14ac:dyDescent="0.25">
      <c r="A177" s="25"/>
      <c r="B177" s="23"/>
      <c r="C177" s="22"/>
      <c r="D177" s="23"/>
      <c r="E177" s="22"/>
      <c r="F177" s="22"/>
      <c r="G177" s="22"/>
      <c r="H177" s="22"/>
      <c r="I177" s="22"/>
      <c r="J177" s="22"/>
      <c r="K177" s="71"/>
      <c r="L177" s="22"/>
      <c r="M177" s="21">
        <f t="shared" si="20"/>
        <v>0</v>
      </c>
      <c r="N177" s="23"/>
      <c r="O177" s="26"/>
    </row>
    <row r="178" spans="1:15" x14ac:dyDescent="0.25">
      <c r="A178" s="25"/>
      <c r="B178" s="23"/>
      <c r="C178" s="22"/>
      <c r="D178" s="23"/>
      <c r="E178" s="22"/>
      <c r="F178" s="22"/>
      <c r="G178" s="22"/>
      <c r="H178" s="22"/>
      <c r="I178" s="22"/>
      <c r="J178" s="22"/>
      <c r="K178" s="71"/>
      <c r="L178" s="22"/>
      <c r="M178" s="21">
        <f t="shared" si="20"/>
        <v>0</v>
      </c>
      <c r="N178" s="23"/>
      <c r="O178" s="26"/>
    </row>
    <row r="179" spans="1:15" x14ac:dyDescent="0.25">
      <c r="A179" s="25"/>
      <c r="B179" s="23"/>
      <c r="C179" s="22"/>
      <c r="D179" s="23"/>
      <c r="E179" s="22"/>
      <c r="F179" s="22"/>
      <c r="G179" s="22"/>
      <c r="H179" s="22"/>
      <c r="I179" s="22"/>
      <c r="J179" s="22"/>
      <c r="K179" s="71"/>
      <c r="L179" s="22"/>
      <c r="M179" s="21">
        <f t="shared" si="20"/>
        <v>0</v>
      </c>
      <c r="N179" s="23"/>
      <c r="O179" s="26"/>
    </row>
    <row r="180" spans="1:15" x14ac:dyDescent="0.25">
      <c r="A180" s="25"/>
      <c r="B180" s="23"/>
      <c r="C180" s="22"/>
      <c r="D180" s="23"/>
      <c r="E180" s="22"/>
      <c r="F180" s="22"/>
      <c r="G180" s="22"/>
      <c r="H180" s="22"/>
      <c r="I180" s="22"/>
      <c r="J180" s="22"/>
      <c r="K180" s="71"/>
      <c r="L180" s="22"/>
      <c r="M180" s="21">
        <f t="shared" si="20"/>
        <v>0</v>
      </c>
      <c r="N180" s="23"/>
      <c r="O180" s="26"/>
    </row>
    <row r="181" spans="1:15" x14ac:dyDescent="0.25">
      <c r="A181" s="25"/>
      <c r="B181" s="23"/>
      <c r="C181" s="22"/>
      <c r="D181" s="23"/>
      <c r="E181" s="22"/>
      <c r="F181" s="22"/>
      <c r="G181" s="22"/>
      <c r="H181" s="22"/>
      <c r="I181" s="22"/>
      <c r="J181" s="22"/>
      <c r="K181" s="71"/>
      <c r="L181" s="22"/>
      <c r="M181" s="21">
        <f t="shared" si="20"/>
        <v>0</v>
      </c>
      <c r="N181" s="23"/>
      <c r="O181" s="26"/>
    </row>
    <row r="182" spans="1:15" x14ac:dyDescent="0.25">
      <c r="A182" s="25"/>
      <c r="B182" s="23"/>
      <c r="C182" s="22"/>
      <c r="D182" s="23"/>
      <c r="E182" s="22"/>
      <c r="F182" s="22"/>
      <c r="G182" s="22"/>
      <c r="H182" s="22"/>
      <c r="I182" s="22"/>
      <c r="J182" s="22"/>
      <c r="K182" s="71"/>
      <c r="L182" s="22"/>
      <c r="M182" s="21">
        <f t="shared" si="20"/>
        <v>0</v>
      </c>
      <c r="N182" s="23"/>
      <c r="O182" s="26"/>
    </row>
    <row r="183" spans="1:15" x14ac:dyDescent="0.25">
      <c r="A183" s="25"/>
      <c r="B183" s="23"/>
      <c r="C183" s="22"/>
      <c r="D183" s="23"/>
      <c r="E183" s="22"/>
      <c r="F183" s="22"/>
      <c r="G183" s="22"/>
      <c r="H183" s="22"/>
      <c r="I183" s="22"/>
      <c r="J183" s="22"/>
      <c r="K183" s="71"/>
      <c r="L183" s="22"/>
      <c r="M183" s="21">
        <f t="shared" si="20"/>
        <v>0</v>
      </c>
      <c r="N183" s="23"/>
      <c r="O183" s="26"/>
    </row>
    <row r="184" spans="1:15" x14ac:dyDescent="0.25">
      <c r="A184" s="25"/>
      <c r="B184" s="23"/>
      <c r="C184" s="22"/>
      <c r="D184" s="23"/>
      <c r="E184" s="22"/>
      <c r="F184" s="22"/>
      <c r="G184" s="22"/>
      <c r="H184" s="22"/>
      <c r="I184" s="22"/>
      <c r="J184" s="22"/>
      <c r="K184" s="71"/>
      <c r="L184" s="22"/>
      <c r="M184" s="21">
        <f t="shared" si="20"/>
        <v>0</v>
      </c>
      <c r="N184" s="23"/>
      <c r="O184" s="26"/>
    </row>
    <row r="185" spans="1:15" x14ac:dyDescent="0.25">
      <c r="A185" s="25"/>
      <c r="B185" s="23"/>
      <c r="C185" s="22"/>
      <c r="D185" s="23"/>
      <c r="E185" s="22"/>
      <c r="F185" s="22"/>
      <c r="G185" s="22"/>
      <c r="H185" s="22"/>
      <c r="I185" s="22"/>
      <c r="J185" s="22"/>
      <c r="K185" s="71"/>
      <c r="L185" s="22"/>
      <c r="M185" s="21">
        <f t="shared" si="20"/>
        <v>0</v>
      </c>
      <c r="N185" s="23"/>
      <c r="O185" s="26"/>
    </row>
    <row r="186" spans="1:15" x14ac:dyDescent="0.25">
      <c r="A186" s="25"/>
      <c r="B186" s="23"/>
      <c r="C186" s="22"/>
      <c r="D186" s="23"/>
      <c r="E186" s="22"/>
      <c r="F186" s="22"/>
      <c r="G186" s="22"/>
      <c r="H186" s="22"/>
      <c r="I186" s="22"/>
      <c r="J186" s="22"/>
      <c r="K186" s="71"/>
      <c r="L186" s="22"/>
      <c r="M186" s="21">
        <f t="shared" si="20"/>
        <v>0</v>
      </c>
      <c r="N186" s="23"/>
      <c r="O186" s="26"/>
    </row>
    <row r="187" spans="1:15" x14ac:dyDescent="0.25">
      <c r="A187" s="25"/>
      <c r="B187" s="23"/>
      <c r="C187" s="22"/>
      <c r="D187" s="23"/>
      <c r="E187" s="22"/>
      <c r="F187" s="22"/>
      <c r="G187" s="22"/>
      <c r="H187" s="22"/>
      <c r="I187" s="22"/>
      <c r="J187" s="22"/>
      <c r="K187" s="71"/>
      <c r="L187" s="22"/>
      <c r="M187" s="21">
        <f t="shared" si="20"/>
        <v>0</v>
      </c>
      <c r="N187" s="23"/>
      <c r="O187" s="26"/>
    </row>
    <row r="188" spans="1:15" x14ac:dyDescent="0.25">
      <c r="A188" s="25"/>
      <c r="B188" s="23"/>
      <c r="C188" s="22"/>
      <c r="D188" s="23"/>
      <c r="E188" s="22"/>
      <c r="F188" s="22"/>
      <c r="G188" s="22"/>
      <c r="H188" s="22"/>
      <c r="I188" s="22"/>
      <c r="J188" s="22"/>
      <c r="K188" s="71"/>
      <c r="L188" s="22"/>
      <c r="M188" s="21">
        <f t="shared" si="20"/>
        <v>0</v>
      </c>
      <c r="N188" s="23"/>
      <c r="O188" s="26"/>
    </row>
    <row r="189" spans="1:15" x14ac:dyDescent="0.25">
      <c r="A189" s="25"/>
      <c r="B189" s="23"/>
      <c r="C189" s="22"/>
      <c r="D189" s="23"/>
      <c r="E189" s="22"/>
      <c r="F189" s="22"/>
      <c r="G189" s="22"/>
      <c r="H189" s="22"/>
      <c r="I189" s="22"/>
      <c r="J189" s="22"/>
      <c r="K189" s="71"/>
      <c r="L189" s="22"/>
      <c r="M189" s="21">
        <f t="shared" si="20"/>
        <v>0</v>
      </c>
      <c r="N189" s="23"/>
      <c r="O189" s="26"/>
    </row>
    <row r="190" spans="1:15" x14ac:dyDescent="0.25">
      <c r="A190" s="25"/>
      <c r="B190" s="23"/>
      <c r="C190" s="22"/>
      <c r="D190" s="23"/>
      <c r="E190" s="22"/>
      <c r="F190" s="22"/>
      <c r="G190" s="22"/>
      <c r="H190" s="22"/>
      <c r="I190" s="22"/>
      <c r="J190" s="22"/>
      <c r="K190" s="71"/>
      <c r="L190" s="22"/>
      <c r="M190" s="21">
        <f t="shared" si="20"/>
        <v>0</v>
      </c>
      <c r="N190" s="23"/>
      <c r="O190" s="26"/>
    </row>
    <row r="191" spans="1:15" x14ac:dyDescent="0.25">
      <c r="A191" s="25"/>
      <c r="B191" s="23"/>
      <c r="C191" s="22"/>
      <c r="D191" s="23"/>
      <c r="E191" s="22"/>
      <c r="F191" s="22"/>
      <c r="G191" s="22"/>
      <c r="H191" s="22"/>
      <c r="I191" s="22"/>
      <c r="J191" s="22"/>
      <c r="K191" s="71"/>
      <c r="L191" s="22"/>
      <c r="M191" s="21">
        <f t="shared" si="20"/>
        <v>0</v>
      </c>
      <c r="N191" s="23"/>
      <c r="O191" s="26"/>
    </row>
    <row r="192" spans="1:15" x14ac:dyDescent="0.25">
      <c r="A192" s="25"/>
      <c r="B192" s="23"/>
      <c r="C192" s="22"/>
      <c r="D192" s="23"/>
      <c r="E192" s="22"/>
      <c r="F192" s="22"/>
      <c r="G192" s="22"/>
      <c r="H192" s="22"/>
      <c r="I192" s="22"/>
      <c r="J192" s="22"/>
      <c r="K192" s="71"/>
      <c r="L192" s="22"/>
      <c r="M192" s="21">
        <f t="shared" si="20"/>
        <v>0</v>
      </c>
      <c r="N192" s="23"/>
      <c r="O192" s="26"/>
    </row>
    <row r="193" spans="1:15" x14ac:dyDescent="0.25">
      <c r="A193" s="25"/>
      <c r="B193" s="23"/>
      <c r="C193" s="22"/>
      <c r="D193" s="23"/>
      <c r="E193" s="22"/>
      <c r="F193" s="22"/>
      <c r="G193" s="22"/>
      <c r="H193" s="22"/>
      <c r="I193" s="22"/>
      <c r="J193" s="22"/>
      <c r="K193" s="71"/>
      <c r="L193" s="22"/>
      <c r="M193" s="21">
        <f t="shared" si="20"/>
        <v>0</v>
      </c>
      <c r="N193" s="23"/>
      <c r="O193" s="26"/>
    </row>
    <row r="194" spans="1:15" x14ac:dyDescent="0.25">
      <c r="A194" s="25"/>
      <c r="B194" s="23"/>
      <c r="C194" s="22"/>
      <c r="D194" s="23"/>
      <c r="E194" s="22"/>
      <c r="F194" s="22"/>
      <c r="G194" s="22"/>
      <c r="H194" s="22"/>
      <c r="I194" s="22"/>
      <c r="J194" s="22"/>
      <c r="K194" s="71"/>
      <c r="L194" s="22"/>
      <c r="M194" s="21">
        <f t="shared" si="20"/>
        <v>0</v>
      </c>
      <c r="N194" s="23"/>
      <c r="O194" s="26"/>
    </row>
    <row r="195" spans="1:15" x14ac:dyDescent="0.25">
      <c r="A195" s="25"/>
      <c r="B195" s="23"/>
      <c r="C195" s="22"/>
      <c r="D195" s="23"/>
      <c r="E195" s="22"/>
      <c r="F195" s="22"/>
      <c r="G195" s="22"/>
      <c r="H195" s="22"/>
      <c r="I195" s="22"/>
      <c r="J195" s="22"/>
      <c r="K195" s="71"/>
      <c r="L195" s="22"/>
      <c r="M195" s="21">
        <f t="shared" si="20"/>
        <v>0</v>
      </c>
      <c r="N195" s="23"/>
      <c r="O195" s="26"/>
    </row>
    <row r="196" spans="1:15" x14ac:dyDescent="0.25">
      <c r="A196" s="25"/>
      <c r="B196" s="23"/>
      <c r="C196" s="22"/>
      <c r="D196" s="23"/>
      <c r="E196" s="22"/>
      <c r="F196" s="22"/>
      <c r="G196" s="22"/>
      <c r="H196" s="22"/>
      <c r="I196" s="22"/>
      <c r="J196" s="22"/>
      <c r="K196" s="71"/>
      <c r="L196" s="22"/>
      <c r="M196" s="21">
        <f t="shared" si="20"/>
        <v>0</v>
      </c>
      <c r="N196" s="23"/>
      <c r="O196" s="26"/>
    </row>
    <row r="197" spans="1:15" x14ac:dyDescent="0.25">
      <c r="A197" s="25"/>
      <c r="B197" s="23"/>
      <c r="C197" s="22"/>
      <c r="D197" s="23"/>
      <c r="E197" s="22"/>
      <c r="F197" s="22"/>
      <c r="G197" s="22"/>
      <c r="H197" s="22"/>
      <c r="I197" s="22"/>
      <c r="J197" s="22"/>
      <c r="K197" s="71"/>
      <c r="L197" s="22"/>
      <c r="M197" s="21">
        <f t="shared" si="20"/>
        <v>0</v>
      </c>
      <c r="N197" s="23"/>
      <c r="O197" s="26"/>
    </row>
    <row r="198" spans="1:15" x14ac:dyDescent="0.25">
      <c r="A198" s="25"/>
      <c r="B198" s="23"/>
      <c r="C198" s="22"/>
      <c r="D198" s="23"/>
      <c r="E198" s="22"/>
      <c r="F198" s="22"/>
      <c r="G198" s="22"/>
      <c r="H198" s="22"/>
      <c r="I198" s="22"/>
      <c r="J198" s="22"/>
      <c r="K198" s="71"/>
      <c r="L198" s="22"/>
      <c r="M198" s="21">
        <f t="shared" si="20"/>
        <v>0</v>
      </c>
      <c r="N198" s="23"/>
      <c r="O198" s="26"/>
    </row>
    <row r="199" spans="1:15" x14ac:dyDescent="0.25">
      <c r="A199" s="25"/>
      <c r="B199" s="23"/>
      <c r="C199" s="22"/>
      <c r="D199" s="23"/>
      <c r="E199" s="22"/>
      <c r="F199" s="22"/>
      <c r="G199" s="22"/>
      <c r="H199" s="22"/>
      <c r="I199" s="22"/>
      <c r="J199" s="22"/>
      <c r="K199" s="71"/>
      <c r="L199" s="22"/>
      <c r="M199" s="21">
        <f t="shared" si="20"/>
        <v>0</v>
      </c>
      <c r="N199" s="23"/>
      <c r="O199" s="26"/>
    </row>
    <row r="200" spans="1:15" x14ac:dyDescent="0.25">
      <c r="A200" s="25"/>
      <c r="B200" s="23"/>
      <c r="C200" s="22"/>
      <c r="D200" s="23"/>
      <c r="E200" s="22"/>
      <c r="F200" s="22"/>
      <c r="G200" s="22"/>
      <c r="H200" s="22"/>
      <c r="I200" s="22"/>
      <c r="J200" s="22"/>
      <c r="K200" s="71"/>
      <c r="L200" s="22"/>
      <c r="M200" s="21">
        <f t="shared" si="20"/>
        <v>0</v>
      </c>
      <c r="N200" s="23"/>
      <c r="O200" s="26"/>
    </row>
    <row r="201" spans="1:15" x14ac:dyDescent="0.25">
      <c r="A201" s="25"/>
      <c r="B201" s="23"/>
      <c r="C201" s="22"/>
      <c r="D201" s="23"/>
      <c r="E201" s="22"/>
      <c r="F201" s="22"/>
      <c r="G201" s="22"/>
      <c r="H201" s="22"/>
      <c r="I201" s="22"/>
      <c r="J201" s="22"/>
      <c r="K201" s="71"/>
      <c r="L201" s="22"/>
      <c r="M201" s="21">
        <f t="shared" si="20"/>
        <v>0</v>
      </c>
      <c r="N201" s="23"/>
      <c r="O201" s="26"/>
    </row>
    <row r="202" spans="1:15" x14ac:dyDescent="0.25">
      <c r="A202" s="25"/>
      <c r="B202" s="23"/>
      <c r="C202" s="22"/>
      <c r="D202" s="23"/>
      <c r="E202" s="22"/>
      <c r="F202" s="22"/>
      <c r="G202" s="22"/>
      <c r="H202" s="22"/>
      <c r="I202" s="22"/>
      <c r="J202" s="22"/>
      <c r="K202" s="71"/>
      <c r="L202" s="22"/>
      <c r="M202" s="21">
        <f t="shared" si="20"/>
        <v>0</v>
      </c>
      <c r="N202" s="23"/>
      <c r="O202" s="26"/>
    </row>
    <row r="203" spans="1:15" x14ac:dyDescent="0.25">
      <c r="A203" s="25"/>
      <c r="B203" s="23"/>
      <c r="C203" s="22"/>
      <c r="D203" s="23"/>
      <c r="E203" s="22"/>
      <c r="F203" s="22"/>
      <c r="G203" s="22"/>
      <c r="H203" s="22"/>
      <c r="I203" s="22"/>
      <c r="J203" s="22"/>
      <c r="K203" s="71"/>
      <c r="L203" s="22"/>
      <c r="M203" s="21">
        <f t="shared" si="20"/>
        <v>0</v>
      </c>
      <c r="N203" s="23"/>
      <c r="O203" s="26"/>
    </row>
    <row r="204" spans="1:15" x14ac:dyDescent="0.25">
      <c r="A204" s="25"/>
      <c r="B204" s="23"/>
      <c r="C204" s="22"/>
      <c r="D204" s="23"/>
      <c r="E204" s="22"/>
      <c r="F204" s="22"/>
      <c r="G204" s="22"/>
      <c r="H204" s="22"/>
      <c r="I204" s="22"/>
      <c r="J204" s="22"/>
      <c r="K204" s="71"/>
      <c r="L204" s="22"/>
      <c r="M204" s="21">
        <f t="shared" si="20"/>
        <v>0</v>
      </c>
      <c r="N204" s="23"/>
      <c r="O204" s="26"/>
    </row>
    <row r="205" spans="1:15" x14ac:dyDescent="0.25">
      <c r="A205" s="25"/>
      <c r="B205" s="23"/>
      <c r="C205" s="22"/>
      <c r="D205" s="23"/>
      <c r="E205" s="22"/>
      <c r="F205" s="22"/>
      <c r="G205" s="22"/>
      <c r="H205" s="22"/>
      <c r="I205" s="22"/>
      <c r="J205" s="22"/>
      <c r="K205" s="71"/>
      <c r="L205" s="22"/>
      <c r="M205" s="21">
        <f t="shared" si="20"/>
        <v>0</v>
      </c>
      <c r="N205" s="23"/>
      <c r="O205" s="26"/>
    </row>
    <row r="206" spans="1:15" x14ac:dyDescent="0.25">
      <c r="A206" s="25"/>
      <c r="B206" s="23"/>
      <c r="C206" s="22"/>
      <c r="D206" s="23"/>
      <c r="E206" s="22"/>
      <c r="F206" s="22"/>
      <c r="G206" s="22"/>
      <c r="H206" s="22"/>
      <c r="I206" s="22"/>
      <c r="J206" s="22"/>
      <c r="K206" s="71"/>
      <c r="L206" s="22"/>
      <c r="M206" s="21">
        <f t="shared" si="20"/>
        <v>0</v>
      </c>
      <c r="N206" s="23"/>
      <c r="O206" s="26"/>
    </row>
    <row r="207" spans="1:15" x14ac:dyDescent="0.25">
      <c r="A207" s="25"/>
      <c r="B207" s="23"/>
      <c r="C207" s="22"/>
      <c r="D207" s="23"/>
      <c r="E207" s="22"/>
      <c r="F207" s="22"/>
      <c r="G207" s="22"/>
      <c r="H207" s="22"/>
      <c r="I207" s="22"/>
      <c r="J207" s="22"/>
      <c r="K207" s="71"/>
      <c r="L207" s="22"/>
      <c r="M207" s="21">
        <f t="shared" si="20"/>
        <v>0</v>
      </c>
      <c r="N207" s="23"/>
      <c r="O207" s="26"/>
    </row>
    <row r="208" spans="1:15" x14ac:dyDescent="0.25">
      <c r="A208" s="25"/>
      <c r="B208" s="23"/>
      <c r="C208" s="22"/>
      <c r="D208" s="23"/>
      <c r="E208" s="22"/>
      <c r="F208" s="22"/>
      <c r="G208" s="22"/>
      <c r="H208" s="22"/>
      <c r="I208" s="22"/>
      <c r="J208" s="22"/>
      <c r="K208" s="71"/>
      <c r="L208" s="22"/>
      <c r="M208" s="21">
        <f t="shared" si="20"/>
        <v>0</v>
      </c>
      <c r="N208" s="23"/>
      <c r="O208" s="26"/>
    </row>
    <row r="209" spans="1:15" x14ac:dyDescent="0.25">
      <c r="A209" s="25"/>
      <c r="B209" s="23"/>
      <c r="C209" s="22"/>
      <c r="D209" s="23"/>
      <c r="E209" s="22"/>
      <c r="F209" s="22"/>
      <c r="G209" s="22"/>
      <c r="H209" s="22"/>
      <c r="I209" s="22"/>
      <c r="J209" s="22"/>
      <c r="K209" s="71"/>
      <c r="L209" s="22"/>
      <c r="M209" s="21">
        <f t="shared" si="20"/>
        <v>0</v>
      </c>
      <c r="N209" s="23"/>
      <c r="O209" s="26"/>
    </row>
    <row r="210" spans="1:15" x14ac:dyDescent="0.25">
      <c r="A210" s="25"/>
      <c r="B210" s="23"/>
      <c r="C210" s="22"/>
      <c r="D210" s="23"/>
      <c r="E210" s="22"/>
      <c r="F210" s="22"/>
      <c r="G210" s="22"/>
      <c r="H210" s="22"/>
      <c r="I210" s="22"/>
      <c r="J210" s="22"/>
      <c r="K210" s="71"/>
      <c r="L210" s="22"/>
      <c r="M210" s="21">
        <f t="shared" si="20"/>
        <v>0</v>
      </c>
      <c r="N210" s="23"/>
      <c r="O210" s="26"/>
    </row>
    <row r="211" spans="1:15" x14ac:dyDescent="0.25">
      <c r="A211" s="25"/>
      <c r="B211" s="23"/>
      <c r="C211" s="22"/>
      <c r="D211" s="23"/>
      <c r="E211" s="22"/>
      <c r="F211" s="22"/>
      <c r="G211" s="22"/>
      <c r="H211" s="22"/>
      <c r="I211" s="22"/>
      <c r="J211" s="22"/>
      <c r="K211" s="71"/>
      <c r="L211" s="22"/>
      <c r="M211" s="21">
        <f t="shared" ref="M211:M220" si="21">-E211-F211-G211-H211+I211+J211+K211+L211</f>
        <v>0</v>
      </c>
      <c r="N211" s="23"/>
      <c r="O211" s="26"/>
    </row>
    <row r="212" spans="1:15" x14ac:dyDescent="0.25">
      <c r="A212" s="25"/>
      <c r="B212" s="23"/>
      <c r="C212" s="22"/>
      <c r="D212" s="23"/>
      <c r="E212" s="22"/>
      <c r="F212" s="22"/>
      <c r="G212" s="22"/>
      <c r="H212" s="22"/>
      <c r="I212" s="22"/>
      <c r="J212" s="22"/>
      <c r="K212" s="71"/>
      <c r="L212" s="22"/>
      <c r="M212" s="21">
        <f t="shared" si="21"/>
        <v>0</v>
      </c>
      <c r="N212" s="23"/>
      <c r="O212" s="26"/>
    </row>
    <row r="213" spans="1:15" x14ac:dyDescent="0.25">
      <c r="A213" s="25"/>
      <c r="B213" s="23"/>
      <c r="C213" s="22"/>
      <c r="D213" s="23"/>
      <c r="E213" s="22"/>
      <c r="F213" s="22"/>
      <c r="G213" s="22"/>
      <c r="H213" s="22"/>
      <c r="I213" s="22"/>
      <c r="J213" s="22"/>
      <c r="K213" s="71"/>
      <c r="L213" s="22"/>
      <c r="M213" s="21">
        <f t="shared" si="21"/>
        <v>0</v>
      </c>
      <c r="N213" s="23"/>
      <c r="O213" s="26"/>
    </row>
    <row r="214" spans="1:15" x14ac:dyDescent="0.25">
      <c r="A214" s="25"/>
      <c r="B214" s="23"/>
      <c r="C214" s="22"/>
      <c r="D214" s="23"/>
      <c r="E214" s="22"/>
      <c r="F214" s="22"/>
      <c r="G214" s="22"/>
      <c r="H214" s="22"/>
      <c r="I214" s="22"/>
      <c r="J214" s="22"/>
      <c r="K214" s="71"/>
      <c r="L214" s="22"/>
      <c r="M214" s="21">
        <f t="shared" si="21"/>
        <v>0</v>
      </c>
      <c r="N214" s="23"/>
      <c r="O214" s="26"/>
    </row>
    <row r="215" spans="1:15" x14ac:dyDescent="0.25">
      <c r="A215" s="25"/>
      <c r="B215" s="23"/>
      <c r="C215" s="22"/>
      <c r="D215" s="23"/>
      <c r="E215" s="22"/>
      <c r="F215" s="22"/>
      <c r="G215" s="22"/>
      <c r="H215" s="22"/>
      <c r="I215" s="22"/>
      <c r="J215" s="22"/>
      <c r="K215" s="71"/>
      <c r="L215" s="22"/>
      <c r="M215" s="21">
        <f t="shared" si="21"/>
        <v>0</v>
      </c>
      <c r="N215" s="23"/>
      <c r="O215" s="26"/>
    </row>
    <row r="216" spans="1:15" x14ac:dyDescent="0.25">
      <c r="A216" s="25"/>
      <c r="B216" s="23"/>
      <c r="C216" s="22"/>
      <c r="D216" s="23"/>
      <c r="E216" s="22"/>
      <c r="F216" s="22"/>
      <c r="G216" s="22"/>
      <c r="H216" s="22"/>
      <c r="I216" s="22"/>
      <c r="J216" s="22"/>
      <c r="K216" s="71"/>
      <c r="L216" s="22"/>
      <c r="M216" s="21">
        <f t="shared" si="21"/>
        <v>0</v>
      </c>
      <c r="N216" s="23"/>
      <c r="O216" s="26"/>
    </row>
    <row r="217" spans="1:15" x14ac:dyDescent="0.25">
      <c r="A217" s="25"/>
      <c r="B217" s="23"/>
      <c r="C217" s="22"/>
      <c r="D217" s="23"/>
      <c r="E217" s="22"/>
      <c r="F217" s="22"/>
      <c r="G217" s="22"/>
      <c r="H217" s="22"/>
      <c r="I217" s="22"/>
      <c r="J217" s="22"/>
      <c r="K217" s="71"/>
      <c r="L217" s="22"/>
      <c r="M217" s="21">
        <f t="shared" si="21"/>
        <v>0</v>
      </c>
      <c r="N217" s="23"/>
      <c r="O217" s="26"/>
    </row>
    <row r="218" spans="1:15" x14ac:dyDescent="0.25">
      <c r="A218" s="25"/>
      <c r="B218" s="23"/>
      <c r="C218" s="22"/>
      <c r="D218" s="23"/>
      <c r="E218" s="22"/>
      <c r="F218" s="22"/>
      <c r="G218" s="22"/>
      <c r="H218" s="22"/>
      <c r="I218" s="22"/>
      <c r="J218" s="22"/>
      <c r="K218" s="71"/>
      <c r="L218" s="22"/>
      <c r="M218" s="21">
        <f t="shared" si="21"/>
        <v>0</v>
      </c>
      <c r="N218" s="23"/>
      <c r="O218" s="26"/>
    </row>
    <row r="219" spans="1:15" x14ac:dyDescent="0.25">
      <c r="A219" s="25"/>
      <c r="B219" s="23"/>
      <c r="C219" s="22"/>
      <c r="D219" s="23"/>
      <c r="E219" s="22"/>
      <c r="F219" s="22"/>
      <c r="G219" s="22"/>
      <c r="H219" s="22"/>
      <c r="I219" s="22"/>
      <c r="J219" s="22"/>
      <c r="K219" s="71"/>
      <c r="L219" s="22"/>
      <c r="M219" s="21">
        <f t="shared" si="21"/>
        <v>0</v>
      </c>
      <c r="N219" s="23"/>
      <c r="O219" s="26"/>
    </row>
    <row r="220" spans="1:15" x14ac:dyDescent="0.25">
      <c r="A220" s="25"/>
      <c r="B220" s="23"/>
      <c r="C220" s="22"/>
      <c r="D220" s="23"/>
      <c r="E220" s="22"/>
      <c r="F220" s="22"/>
      <c r="G220" s="22"/>
      <c r="H220" s="22"/>
      <c r="I220" s="22"/>
      <c r="J220" s="22"/>
      <c r="K220" s="71"/>
      <c r="L220" s="22"/>
      <c r="M220" s="21">
        <f t="shared" si="21"/>
        <v>0</v>
      </c>
      <c r="N220" s="23"/>
      <c r="O220" s="26"/>
    </row>
    <row r="221" spans="1:15" x14ac:dyDescent="0.25">
      <c r="A221" s="25"/>
      <c r="B221" s="23"/>
      <c r="C221" s="22"/>
      <c r="D221" s="23"/>
      <c r="E221" s="22"/>
      <c r="F221" s="22"/>
      <c r="G221" s="22"/>
      <c r="H221" s="22"/>
      <c r="I221" s="22"/>
      <c r="J221" s="22"/>
      <c r="K221" s="71"/>
      <c r="L221" s="22"/>
      <c r="M221" s="21">
        <f t="shared" ref="M221:M232" si="22">-E221-F221-G221-H221+I221+J221+K221+L221</f>
        <v>0</v>
      </c>
      <c r="N221" s="23"/>
      <c r="O221" s="26"/>
    </row>
    <row r="222" spans="1:15" x14ac:dyDescent="0.25">
      <c r="A222" s="25"/>
      <c r="B222" s="23"/>
      <c r="C222" s="22"/>
      <c r="D222" s="23"/>
      <c r="E222" s="22"/>
      <c r="F222" s="22"/>
      <c r="G222" s="22"/>
      <c r="H222" s="22"/>
      <c r="I222" s="22"/>
      <c r="J222" s="22"/>
      <c r="K222" s="71"/>
      <c r="L222" s="22"/>
      <c r="M222" s="21">
        <f t="shared" si="22"/>
        <v>0</v>
      </c>
      <c r="N222" s="23"/>
      <c r="O222" s="26"/>
    </row>
    <row r="223" spans="1:15" x14ac:dyDescent="0.25">
      <c r="A223" s="25"/>
      <c r="B223" s="23"/>
      <c r="C223" s="22"/>
      <c r="D223" s="23"/>
      <c r="E223" s="22"/>
      <c r="F223" s="22"/>
      <c r="G223" s="22"/>
      <c r="H223" s="22"/>
      <c r="I223" s="22"/>
      <c r="J223" s="22"/>
      <c r="K223" s="71"/>
      <c r="L223" s="22"/>
      <c r="M223" s="21">
        <f t="shared" si="22"/>
        <v>0</v>
      </c>
      <c r="N223" s="23"/>
      <c r="O223" s="26"/>
    </row>
    <row r="224" spans="1:15" x14ac:dyDescent="0.25">
      <c r="A224" s="25"/>
      <c r="B224" s="23"/>
      <c r="C224" s="22"/>
      <c r="D224" s="23"/>
      <c r="E224" s="22"/>
      <c r="F224" s="22"/>
      <c r="G224" s="22"/>
      <c r="H224" s="22"/>
      <c r="I224" s="22"/>
      <c r="J224" s="22"/>
      <c r="K224" s="71"/>
      <c r="L224" s="22"/>
      <c r="M224" s="21">
        <f t="shared" si="22"/>
        <v>0</v>
      </c>
      <c r="N224" s="23"/>
      <c r="O224" s="26"/>
    </row>
    <row r="225" spans="1:15" x14ac:dyDescent="0.25">
      <c r="A225" s="25"/>
      <c r="B225" s="23"/>
      <c r="C225" s="22"/>
      <c r="D225" s="23"/>
      <c r="E225" s="22"/>
      <c r="F225" s="22"/>
      <c r="G225" s="22"/>
      <c r="H225" s="22"/>
      <c r="I225" s="22"/>
      <c r="J225" s="22"/>
      <c r="K225" s="71"/>
      <c r="L225" s="22"/>
      <c r="M225" s="21">
        <f t="shared" si="22"/>
        <v>0</v>
      </c>
      <c r="N225" s="23"/>
      <c r="O225" s="26"/>
    </row>
    <row r="226" spans="1:15" x14ac:dyDescent="0.25">
      <c r="A226" s="25"/>
      <c r="B226" s="23"/>
      <c r="C226" s="22"/>
      <c r="D226" s="23"/>
      <c r="E226" s="22"/>
      <c r="F226" s="22"/>
      <c r="G226" s="22"/>
      <c r="H226" s="22"/>
      <c r="I226" s="22"/>
      <c r="J226" s="22"/>
      <c r="K226" s="71"/>
      <c r="L226" s="22"/>
      <c r="M226" s="21">
        <f t="shared" si="22"/>
        <v>0</v>
      </c>
      <c r="N226" s="23"/>
      <c r="O226" s="26"/>
    </row>
    <row r="227" spans="1:15" x14ac:dyDescent="0.25">
      <c r="A227" s="25"/>
      <c r="B227" s="23"/>
      <c r="C227" s="22"/>
      <c r="D227" s="23"/>
      <c r="E227" s="22"/>
      <c r="F227" s="22"/>
      <c r="G227" s="22"/>
      <c r="H227" s="22"/>
      <c r="I227" s="22"/>
      <c r="J227" s="22"/>
      <c r="K227" s="71"/>
      <c r="L227" s="22"/>
      <c r="M227" s="21">
        <f t="shared" si="22"/>
        <v>0</v>
      </c>
      <c r="N227" s="23"/>
      <c r="O227" s="26"/>
    </row>
    <row r="228" spans="1:15" x14ac:dyDescent="0.25">
      <c r="A228" s="25"/>
      <c r="B228" s="23"/>
      <c r="C228" s="22"/>
      <c r="D228" s="23"/>
      <c r="E228" s="22"/>
      <c r="F228" s="22"/>
      <c r="G228" s="22"/>
      <c r="H228" s="22"/>
      <c r="I228" s="22"/>
      <c r="J228" s="22"/>
      <c r="K228" s="71"/>
      <c r="L228" s="22"/>
      <c r="M228" s="21">
        <f t="shared" si="22"/>
        <v>0</v>
      </c>
      <c r="N228" s="23"/>
      <c r="O228" s="26"/>
    </row>
    <row r="229" spans="1:15" x14ac:dyDescent="0.25">
      <c r="A229" s="25"/>
      <c r="B229" s="23"/>
      <c r="C229" s="22"/>
      <c r="D229" s="23"/>
      <c r="E229" s="22"/>
      <c r="F229" s="22"/>
      <c r="G229" s="22"/>
      <c r="H229" s="22"/>
      <c r="I229" s="22"/>
      <c r="J229" s="22"/>
      <c r="K229" s="71"/>
      <c r="L229" s="22"/>
      <c r="M229" s="21">
        <f t="shared" si="22"/>
        <v>0</v>
      </c>
      <c r="N229" s="23"/>
      <c r="O229" s="26"/>
    </row>
    <row r="230" spans="1:15" x14ac:dyDescent="0.25">
      <c r="A230" s="25"/>
      <c r="B230" s="23"/>
      <c r="C230" s="22"/>
      <c r="D230" s="23"/>
      <c r="E230" s="22"/>
      <c r="F230" s="22"/>
      <c r="G230" s="22"/>
      <c r="H230" s="22"/>
      <c r="I230" s="22"/>
      <c r="J230" s="22"/>
      <c r="K230" s="71"/>
      <c r="L230" s="22"/>
      <c r="M230" s="21">
        <f t="shared" si="22"/>
        <v>0</v>
      </c>
      <c r="N230" s="23"/>
      <c r="O230" s="26"/>
    </row>
    <row r="231" spans="1:15" x14ac:dyDescent="0.25">
      <c r="A231" s="25"/>
      <c r="B231" s="23"/>
      <c r="C231" s="22"/>
      <c r="D231" s="23"/>
      <c r="E231" s="22"/>
      <c r="F231" s="22"/>
      <c r="G231" s="22"/>
      <c r="H231" s="22"/>
      <c r="I231" s="22"/>
      <c r="J231" s="22"/>
      <c r="K231" s="71"/>
      <c r="L231" s="22"/>
      <c r="M231" s="21">
        <f t="shared" si="22"/>
        <v>0</v>
      </c>
      <c r="N231" s="23"/>
      <c r="O231" s="26"/>
    </row>
    <row r="232" spans="1:15" x14ac:dyDescent="0.25">
      <c r="A232" s="25"/>
      <c r="B232" s="23"/>
      <c r="C232" s="22"/>
      <c r="D232" s="23"/>
      <c r="E232" s="22"/>
      <c r="F232" s="22"/>
      <c r="G232" s="22"/>
      <c r="H232" s="22"/>
      <c r="I232" s="22"/>
      <c r="J232" s="22"/>
      <c r="K232" s="71"/>
      <c r="L232" s="22"/>
      <c r="M232" s="21">
        <f t="shared" si="22"/>
        <v>0</v>
      </c>
      <c r="N232" s="23"/>
      <c r="O232" s="26"/>
    </row>
    <row r="233" spans="1:15" x14ac:dyDescent="0.25">
      <c r="A233" s="25"/>
      <c r="B233" s="23"/>
      <c r="C233" s="22"/>
      <c r="D233" s="23"/>
      <c r="E233" s="22"/>
      <c r="F233" s="22"/>
      <c r="G233" s="22"/>
      <c r="H233" s="22"/>
      <c r="I233" s="22"/>
      <c r="J233" s="22"/>
      <c r="K233" s="71"/>
      <c r="L233" s="22"/>
      <c r="M233" s="21">
        <f t="shared" ref="M233:M260" si="23">-E233-F233-G233-H233+I233+J233+K233+L233</f>
        <v>0</v>
      </c>
      <c r="N233" s="23"/>
      <c r="O233" s="26"/>
    </row>
    <row r="234" spans="1:15" x14ac:dyDescent="0.25">
      <c r="A234" s="25"/>
      <c r="B234" s="23"/>
      <c r="C234" s="22"/>
      <c r="D234" s="23"/>
      <c r="E234" s="22"/>
      <c r="F234" s="22"/>
      <c r="G234" s="22"/>
      <c r="H234" s="22"/>
      <c r="I234" s="22"/>
      <c r="J234" s="22"/>
      <c r="K234" s="71"/>
      <c r="L234" s="22"/>
      <c r="M234" s="21">
        <f t="shared" si="23"/>
        <v>0</v>
      </c>
      <c r="N234" s="23"/>
      <c r="O234" s="26"/>
    </row>
    <row r="235" spans="1:15" x14ac:dyDescent="0.25">
      <c r="A235" s="25"/>
      <c r="B235" s="23"/>
      <c r="C235" s="22"/>
      <c r="D235" s="23"/>
      <c r="E235" s="22"/>
      <c r="F235" s="22"/>
      <c r="G235" s="22"/>
      <c r="H235" s="22"/>
      <c r="I235" s="22"/>
      <c r="J235" s="22"/>
      <c r="K235" s="71"/>
      <c r="L235" s="22"/>
      <c r="M235" s="21">
        <f t="shared" si="23"/>
        <v>0</v>
      </c>
      <c r="N235" s="23"/>
      <c r="O235" s="26"/>
    </row>
    <row r="236" spans="1:15" x14ac:dyDescent="0.25">
      <c r="A236" s="25"/>
      <c r="B236" s="23"/>
      <c r="C236" s="22"/>
      <c r="D236" s="23"/>
      <c r="E236" s="22"/>
      <c r="F236" s="22"/>
      <c r="G236" s="22"/>
      <c r="H236" s="22"/>
      <c r="I236" s="22"/>
      <c r="J236" s="22"/>
      <c r="K236" s="71"/>
      <c r="L236" s="22"/>
      <c r="M236" s="21">
        <f t="shared" si="23"/>
        <v>0</v>
      </c>
      <c r="N236" s="23"/>
      <c r="O236" s="26"/>
    </row>
    <row r="237" spans="1:15" x14ac:dyDescent="0.25">
      <c r="A237" s="25"/>
      <c r="B237" s="23"/>
      <c r="C237" s="22"/>
      <c r="D237" s="23"/>
      <c r="E237" s="22"/>
      <c r="F237" s="22"/>
      <c r="G237" s="22"/>
      <c r="H237" s="22"/>
      <c r="I237" s="22"/>
      <c r="J237" s="22"/>
      <c r="K237" s="71"/>
      <c r="L237" s="22"/>
      <c r="M237" s="21">
        <f t="shared" si="23"/>
        <v>0</v>
      </c>
      <c r="N237" s="23"/>
      <c r="O237" s="26"/>
    </row>
    <row r="238" spans="1:15" x14ac:dyDescent="0.25">
      <c r="A238" s="25"/>
      <c r="B238" s="23"/>
      <c r="C238" s="22"/>
      <c r="D238" s="23"/>
      <c r="E238" s="22"/>
      <c r="F238" s="22"/>
      <c r="G238" s="22"/>
      <c r="H238" s="22"/>
      <c r="I238" s="22"/>
      <c r="J238" s="22"/>
      <c r="K238" s="71"/>
      <c r="L238" s="22"/>
      <c r="M238" s="21">
        <f t="shared" si="23"/>
        <v>0</v>
      </c>
      <c r="N238" s="23"/>
      <c r="O238" s="26"/>
    </row>
    <row r="239" spans="1:15" x14ac:dyDescent="0.25">
      <c r="A239" s="25"/>
      <c r="B239" s="23"/>
      <c r="C239" s="22"/>
      <c r="D239" s="23"/>
      <c r="E239" s="22"/>
      <c r="F239" s="22"/>
      <c r="G239" s="22"/>
      <c r="H239" s="22"/>
      <c r="I239" s="22"/>
      <c r="J239" s="22"/>
      <c r="K239" s="71"/>
      <c r="L239" s="22"/>
      <c r="M239" s="21">
        <f t="shared" si="23"/>
        <v>0</v>
      </c>
      <c r="N239" s="23"/>
      <c r="O239" s="26"/>
    </row>
    <row r="240" spans="1:15" x14ac:dyDescent="0.25">
      <c r="A240" s="25"/>
      <c r="B240" s="23"/>
      <c r="C240" s="22"/>
      <c r="D240" s="23"/>
      <c r="E240" s="22"/>
      <c r="F240" s="22"/>
      <c r="G240" s="22"/>
      <c r="H240" s="22"/>
      <c r="I240" s="22"/>
      <c r="J240" s="22"/>
      <c r="K240" s="71"/>
      <c r="L240" s="22"/>
      <c r="M240" s="21">
        <f t="shared" si="23"/>
        <v>0</v>
      </c>
      <c r="N240" s="23"/>
      <c r="O240" s="26"/>
    </row>
    <row r="241" spans="1:15" x14ac:dyDescent="0.25">
      <c r="A241" s="25"/>
      <c r="B241" s="23"/>
      <c r="C241" s="22"/>
      <c r="D241" s="23"/>
      <c r="E241" s="22"/>
      <c r="F241" s="22"/>
      <c r="G241" s="22"/>
      <c r="H241" s="22"/>
      <c r="I241" s="22"/>
      <c r="J241" s="22"/>
      <c r="K241" s="71"/>
      <c r="L241" s="22"/>
      <c r="M241" s="21">
        <f t="shared" si="23"/>
        <v>0</v>
      </c>
      <c r="N241" s="23"/>
      <c r="O241" s="26"/>
    </row>
    <row r="242" spans="1:15" x14ac:dyDescent="0.25">
      <c r="A242" s="25"/>
      <c r="B242" s="23"/>
      <c r="C242" s="22"/>
      <c r="D242" s="23"/>
      <c r="E242" s="22"/>
      <c r="F242" s="22"/>
      <c r="G242" s="22"/>
      <c r="H242" s="22"/>
      <c r="I242" s="22"/>
      <c r="J242" s="22"/>
      <c r="K242" s="71"/>
      <c r="L242" s="22"/>
      <c r="M242" s="21">
        <f t="shared" si="23"/>
        <v>0</v>
      </c>
      <c r="N242" s="23"/>
      <c r="O242" s="26"/>
    </row>
    <row r="243" spans="1:15" x14ac:dyDescent="0.25">
      <c r="A243" s="25"/>
      <c r="B243" s="23"/>
      <c r="C243" s="22"/>
      <c r="D243" s="23"/>
      <c r="E243" s="22"/>
      <c r="F243" s="22"/>
      <c r="G243" s="22"/>
      <c r="H243" s="22"/>
      <c r="I243" s="22"/>
      <c r="J243" s="22"/>
      <c r="K243" s="71"/>
      <c r="L243" s="22"/>
      <c r="M243" s="21">
        <f t="shared" si="23"/>
        <v>0</v>
      </c>
      <c r="N243" s="23"/>
      <c r="O243" s="26"/>
    </row>
    <row r="244" spans="1:15" x14ac:dyDescent="0.25">
      <c r="A244" s="25"/>
      <c r="B244" s="23"/>
      <c r="C244" s="22"/>
      <c r="D244" s="23"/>
      <c r="E244" s="22"/>
      <c r="F244" s="22"/>
      <c r="G244" s="22"/>
      <c r="H244" s="22"/>
      <c r="I244" s="22"/>
      <c r="J244" s="22"/>
      <c r="K244" s="71"/>
      <c r="L244" s="22"/>
      <c r="M244" s="21">
        <f t="shared" si="23"/>
        <v>0</v>
      </c>
      <c r="N244" s="23"/>
      <c r="O244" s="26"/>
    </row>
    <row r="245" spans="1:15" x14ac:dyDescent="0.25">
      <c r="A245" s="25"/>
      <c r="B245" s="23"/>
      <c r="C245" s="22"/>
      <c r="D245" s="23"/>
      <c r="E245" s="22"/>
      <c r="F245" s="22"/>
      <c r="G245" s="22"/>
      <c r="H245" s="22"/>
      <c r="I245" s="22"/>
      <c r="J245" s="22"/>
      <c r="K245" s="71"/>
      <c r="L245" s="22"/>
      <c r="M245" s="21">
        <f t="shared" si="23"/>
        <v>0</v>
      </c>
      <c r="N245" s="23"/>
      <c r="O245" s="26"/>
    </row>
    <row r="246" spans="1:15" x14ac:dyDescent="0.25">
      <c r="A246" s="25"/>
      <c r="B246" s="23"/>
      <c r="C246" s="22"/>
      <c r="D246" s="23"/>
      <c r="E246" s="22"/>
      <c r="F246" s="22"/>
      <c r="G246" s="22"/>
      <c r="H246" s="22"/>
      <c r="I246" s="22"/>
      <c r="J246" s="22"/>
      <c r="K246" s="71"/>
      <c r="L246" s="22"/>
      <c r="M246" s="21">
        <f t="shared" si="23"/>
        <v>0</v>
      </c>
      <c r="N246" s="23"/>
      <c r="O246" s="26"/>
    </row>
    <row r="247" spans="1:15" x14ac:dyDescent="0.25">
      <c r="A247" s="25"/>
      <c r="B247" s="23"/>
      <c r="C247" s="22"/>
      <c r="D247" s="23"/>
      <c r="E247" s="22"/>
      <c r="F247" s="22"/>
      <c r="G247" s="22"/>
      <c r="H247" s="22"/>
      <c r="I247" s="22"/>
      <c r="J247" s="22"/>
      <c r="K247" s="71"/>
      <c r="L247" s="22"/>
      <c r="M247" s="21">
        <f t="shared" si="23"/>
        <v>0</v>
      </c>
      <c r="N247" s="23"/>
      <c r="O247" s="26"/>
    </row>
    <row r="248" spans="1:15" x14ac:dyDescent="0.25">
      <c r="A248" s="25"/>
      <c r="B248" s="23"/>
      <c r="C248" s="22"/>
      <c r="D248" s="23"/>
      <c r="E248" s="22"/>
      <c r="F248" s="22"/>
      <c r="G248" s="22"/>
      <c r="H248" s="22"/>
      <c r="I248" s="22"/>
      <c r="J248" s="22"/>
      <c r="K248" s="71"/>
      <c r="L248" s="22"/>
      <c r="M248" s="21">
        <f t="shared" si="23"/>
        <v>0</v>
      </c>
      <c r="N248" s="23"/>
      <c r="O248" s="26"/>
    </row>
    <row r="249" spans="1:15" x14ac:dyDescent="0.25">
      <c r="A249" s="25"/>
      <c r="B249" s="23"/>
      <c r="C249" s="22"/>
      <c r="D249" s="23"/>
      <c r="E249" s="22"/>
      <c r="F249" s="22"/>
      <c r="G249" s="22"/>
      <c r="H249" s="22"/>
      <c r="I249" s="22"/>
      <c r="J249" s="22"/>
      <c r="K249" s="71"/>
      <c r="L249" s="22"/>
      <c r="M249" s="21">
        <f t="shared" si="23"/>
        <v>0</v>
      </c>
      <c r="N249" s="23"/>
      <c r="O249" s="26"/>
    </row>
    <row r="250" spans="1:15" x14ac:dyDescent="0.25">
      <c r="A250" s="25"/>
      <c r="B250" s="23"/>
      <c r="C250" s="22"/>
      <c r="D250" s="23"/>
      <c r="E250" s="22"/>
      <c r="F250" s="22"/>
      <c r="G250" s="22"/>
      <c r="H250" s="22"/>
      <c r="I250" s="22"/>
      <c r="J250" s="22"/>
      <c r="K250" s="71"/>
      <c r="L250" s="22"/>
      <c r="M250" s="21">
        <f t="shared" si="23"/>
        <v>0</v>
      </c>
      <c r="N250" s="23"/>
      <c r="O250" s="26"/>
    </row>
    <row r="251" spans="1:15" x14ac:dyDescent="0.25">
      <c r="A251" s="25"/>
      <c r="B251" s="23"/>
      <c r="C251" s="22"/>
      <c r="D251" s="23"/>
      <c r="E251" s="22"/>
      <c r="F251" s="22"/>
      <c r="G251" s="22"/>
      <c r="H251" s="22"/>
      <c r="I251" s="22"/>
      <c r="J251" s="22"/>
      <c r="K251" s="71"/>
      <c r="L251" s="22"/>
      <c r="M251" s="21">
        <f t="shared" si="23"/>
        <v>0</v>
      </c>
      <c r="N251" s="23"/>
      <c r="O251" s="26"/>
    </row>
    <row r="252" spans="1:15" x14ac:dyDescent="0.25">
      <c r="A252" s="25"/>
      <c r="B252" s="23"/>
      <c r="C252" s="22"/>
      <c r="D252" s="23"/>
      <c r="E252" s="22"/>
      <c r="F252" s="22"/>
      <c r="G252" s="22"/>
      <c r="H252" s="22"/>
      <c r="I252" s="22"/>
      <c r="J252" s="22"/>
      <c r="K252" s="71"/>
      <c r="L252" s="22"/>
      <c r="M252" s="21">
        <f t="shared" si="23"/>
        <v>0</v>
      </c>
      <c r="N252" s="23"/>
      <c r="O252" s="26"/>
    </row>
    <row r="253" spans="1:15" x14ac:dyDescent="0.25">
      <c r="A253" s="25"/>
      <c r="B253" s="23"/>
      <c r="C253" s="22"/>
      <c r="D253" s="23"/>
      <c r="E253" s="22"/>
      <c r="F253" s="22"/>
      <c r="G253" s="22"/>
      <c r="H253" s="22"/>
      <c r="I253" s="22"/>
      <c r="J253" s="22"/>
      <c r="K253" s="71"/>
      <c r="L253" s="22"/>
      <c r="M253" s="21">
        <f t="shared" si="23"/>
        <v>0</v>
      </c>
      <c r="N253" s="23"/>
      <c r="O253" s="26"/>
    </row>
    <row r="254" spans="1:15" x14ac:dyDescent="0.25">
      <c r="A254" s="25"/>
      <c r="B254" s="23"/>
      <c r="C254" s="22"/>
      <c r="D254" s="23"/>
      <c r="E254" s="22"/>
      <c r="F254" s="22"/>
      <c r="G254" s="22"/>
      <c r="H254" s="22"/>
      <c r="I254" s="22"/>
      <c r="J254" s="22"/>
      <c r="K254" s="71"/>
      <c r="L254" s="22"/>
      <c r="M254" s="21">
        <f t="shared" si="23"/>
        <v>0</v>
      </c>
      <c r="N254" s="23"/>
      <c r="O254" s="26"/>
    </row>
    <row r="255" spans="1:15" x14ac:dyDescent="0.25">
      <c r="A255" s="25"/>
      <c r="B255" s="23"/>
      <c r="C255" s="22"/>
      <c r="D255" s="23"/>
      <c r="E255" s="22"/>
      <c r="F255" s="22"/>
      <c r="G255" s="22"/>
      <c r="H255" s="22"/>
      <c r="I255" s="22"/>
      <c r="J255" s="22"/>
      <c r="K255" s="71"/>
      <c r="L255" s="22"/>
      <c r="M255" s="21">
        <f t="shared" si="23"/>
        <v>0</v>
      </c>
      <c r="N255" s="23"/>
      <c r="O255" s="26"/>
    </row>
    <row r="256" spans="1:15" x14ac:dyDescent="0.25">
      <c r="A256" s="25"/>
      <c r="B256" s="23"/>
      <c r="C256" s="22"/>
      <c r="D256" s="23"/>
      <c r="E256" s="22"/>
      <c r="F256" s="22"/>
      <c r="G256" s="22"/>
      <c r="H256" s="22"/>
      <c r="I256" s="22"/>
      <c r="J256" s="22"/>
      <c r="K256" s="71"/>
      <c r="L256" s="22"/>
      <c r="M256" s="21">
        <f t="shared" si="23"/>
        <v>0</v>
      </c>
      <c r="N256" s="23"/>
      <c r="O256" s="26"/>
    </row>
    <row r="257" spans="1:15" x14ac:dyDescent="0.25">
      <c r="A257" s="25"/>
      <c r="B257" s="23"/>
      <c r="C257" s="22"/>
      <c r="D257" s="23"/>
      <c r="E257" s="22"/>
      <c r="F257" s="22"/>
      <c r="G257" s="22"/>
      <c r="H257" s="22"/>
      <c r="I257" s="22"/>
      <c r="J257" s="22"/>
      <c r="K257" s="71"/>
      <c r="L257" s="22"/>
      <c r="M257" s="21">
        <f t="shared" si="23"/>
        <v>0</v>
      </c>
      <c r="N257" s="23"/>
      <c r="O257" s="26"/>
    </row>
    <row r="258" spans="1:15" x14ac:dyDescent="0.25">
      <c r="A258" s="25"/>
      <c r="B258" s="23"/>
      <c r="C258" s="22"/>
      <c r="D258" s="23"/>
      <c r="E258" s="22"/>
      <c r="F258" s="22"/>
      <c r="G258" s="22"/>
      <c r="H258" s="22"/>
      <c r="I258" s="22"/>
      <c r="J258" s="22"/>
      <c r="K258" s="71"/>
      <c r="L258" s="22"/>
      <c r="M258" s="21">
        <f t="shared" si="23"/>
        <v>0</v>
      </c>
      <c r="N258" s="23"/>
      <c r="O258" s="26"/>
    </row>
    <row r="259" spans="1:15" x14ac:dyDescent="0.25">
      <c r="A259" s="25"/>
      <c r="B259" s="23"/>
      <c r="C259" s="22"/>
      <c r="D259" s="23"/>
      <c r="E259" s="22"/>
      <c r="F259" s="22"/>
      <c r="G259" s="22"/>
      <c r="H259" s="22"/>
      <c r="I259" s="22"/>
      <c r="J259" s="22"/>
      <c r="K259" s="71"/>
      <c r="L259" s="22"/>
      <c r="M259" s="21">
        <f t="shared" si="23"/>
        <v>0</v>
      </c>
      <c r="N259" s="23"/>
      <c r="O259" s="26"/>
    </row>
    <row r="260" spans="1:15" x14ac:dyDescent="0.25">
      <c r="A260" s="25"/>
      <c r="B260" s="23"/>
      <c r="C260" s="22"/>
      <c r="D260" s="23"/>
      <c r="E260" s="22"/>
      <c r="F260" s="22"/>
      <c r="G260" s="22"/>
      <c r="H260" s="22"/>
      <c r="I260" s="22"/>
      <c r="J260" s="22"/>
      <c r="K260" s="71"/>
      <c r="L260" s="22"/>
      <c r="M260" s="21">
        <f t="shared" si="23"/>
        <v>0</v>
      </c>
      <c r="N260" s="23"/>
      <c r="O260" s="26"/>
    </row>
    <row r="261" spans="1:15" x14ac:dyDescent="0.25">
      <c r="A261" s="25"/>
      <c r="B261" s="23"/>
      <c r="C261" s="22"/>
      <c r="D261" s="23"/>
      <c r="E261" s="22"/>
      <c r="F261" s="22"/>
      <c r="G261" s="22"/>
      <c r="H261" s="22"/>
      <c r="I261" s="22"/>
      <c r="J261" s="22"/>
      <c r="K261" s="71"/>
      <c r="L261" s="22"/>
      <c r="M261" s="21">
        <f t="shared" ref="M261:M276" si="24">-E261-F261-G261-H261+I261+J261+K261+L261</f>
        <v>0</v>
      </c>
      <c r="N261" s="23"/>
      <c r="O261" s="26"/>
    </row>
    <row r="262" spans="1:15" x14ac:dyDescent="0.25">
      <c r="A262" s="25"/>
      <c r="B262" s="23"/>
      <c r="C262" s="22"/>
      <c r="D262" s="23"/>
      <c r="E262" s="22"/>
      <c r="F262" s="22"/>
      <c r="G262" s="22"/>
      <c r="H262" s="22"/>
      <c r="I262" s="22"/>
      <c r="J262" s="22"/>
      <c r="K262" s="71"/>
      <c r="L262" s="22"/>
      <c r="M262" s="21">
        <f t="shared" si="24"/>
        <v>0</v>
      </c>
      <c r="N262" s="23"/>
      <c r="O262" s="26"/>
    </row>
    <row r="263" spans="1:15" x14ac:dyDescent="0.25">
      <c r="A263" s="25"/>
      <c r="B263" s="23"/>
      <c r="C263" s="22"/>
      <c r="D263" s="23"/>
      <c r="E263" s="22"/>
      <c r="F263" s="22"/>
      <c r="G263" s="22"/>
      <c r="H263" s="22"/>
      <c r="I263" s="22"/>
      <c r="J263" s="22"/>
      <c r="K263" s="71"/>
      <c r="L263" s="22"/>
      <c r="M263" s="21">
        <f t="shared" si="24"/>
        <v>0</v>
      </c>
      <c r="N263" s="23"/>
      <c r="O263" s="26"/>
    </row>
    <row r="264" spans="1:15" x14ac:dyDescent="0.25">
      <c r="A264" s="25"/>
      <c r="B264" s="23"/>
      <c r="C264" s="22"/>
      <c r="D264" s="23"/>
      <c r="E264" s="22"/>
      <c r="F264" s="22"/>
      <c r="G264" s="22"/>
      <c r="H264" s="22"/>
      <c r="I264" s="22"/>
      <c r="J264" s="22"/>
      <c r="K264" s="71"/>
      <c r="L264" s="22"/>
      <c r="M264" s="21">
        <f t="shared" si="24"/>
        <v>0</v>
      </c>
      <c r="N264" s="23"/>
      <c r="O264" s="26"/>
    </row>
    <row r="265" spans="1:15" x14ac:dyDescent="0.25">
      <c r="A265" s="25"/>
      <c r="B265" s="23"/>
      <c r="C265" s="22"/>
      <c r="D265" s="23"/>
      <c r="E265" s="22"/>
      <c r="F265" s="22"/>
      <c r="G265" s="22"/>
      <c r="H265" s="22"/>
      <c r="I265" s="22"/>
      <c r="J265" s="22"/>
      <c r="K265" s="71"/>
      <c r="L265" s="22"/>
      <c r="M265" s="21">
        <f t="shared" si="24"/>
        <v>0</v>
      </c>
      <c r="N265" s="23"/>
      <c r="O265" s="26"/>
    </row>
    <row r="266" spans="1:15" x14ac:dyDescent="0.25">
      <c r="A266" s="25"/>
      <c r="B266" s="23"/>
      <c r="C266" s="22"/>
      <c r="D266" s="23"/>
      <c r="E266" s="22"/>
      <c r="F266" s="22"/>
      <c r="G266" s="22"/>
      <c r="H266" s="22"/>
      <c r="I266" s="22"/>
      <c r="J266" s="22"/>
      <c r="K266" s="71"/>
      <c r="L266" s="22"/>
      <c r="M266" s="21">
        <f t="shared" si="24"/>
        <v>0</v>
      </c>
      <c r="N266" s="23"/>
      <c r="O266" s="26"/>
    </row>
    <row r="267" spans="1:15" x14ac:dyDescent="0.25">
      <c r="A267" s="25"/>
      <c r="B267" s="23"/>
      <c r="C267" s="22"/>
      <c r="D267" s="23"/>
      <c r="E267" s="22"/>
      <c r="F267" s="22"/>
      <c r="G267" s="22"/>
      <c r="H267" s="22"/>
      <c r="I267" s="22"/>
      <c r="J267" s="22"/>
      <c r="K267" s="71"/>
      <c r="L267" s="22"/>
      <c r="M267" s="21">
        <f t="shared" si="24"/>
        <v>0</v>
      </c>
      <c r="N267" s="23"/>
      <c r="O267" s="26"/>
    </row>
    <row r="268" spans="1:15" x14ac:dyDescent="0.25">
      <c r="A268" s="25"/>
      <c r="B268" s="23"/>
      <c r="C268" s="22"/>
      <c r="D268" s="23"/>
      <c r="E268" s="22"/>
      <c r="F268" s="22"/>
      <c r="G268" s="22"/>
      <c r="H268" s="22"/>
      <c r="I268" s="22"/>
      <c r="J268" s="22"/>
      <c r="K268" s="71"/>
      <c r="L268" s="22"/>
      <c r="M268" s="21">
        <f t="shared" si="24"/>
        <v>0</v>
      </c>
      <c r="N268" s="23"/>
      <c r="O268" s="26"/>
    </row>
    <row r="269" spans="1:15" x14ac:dyDescent="0.25">
      <c r="A269" s="25"/>
      <c r="B269" s="23"/>
      <c r="C269" s="22"/>
      <c r="D269" s="23"/>
      <c r="E269" s="22"/>
      <c r="F269" s="22"/>
      <c r="G269" s="22"/>
      <c r="H269" s="22"/>
      <c r="I269" s="22"/>
      <c r="J269" s="22"/>
      <c r="K269" s="71"/>
      <c r="L269" s="22"/>
      <c r="M269" s="21">
        <f t="shared" si="24"/>
        <v>0</v>
      </c>
      <c r="N269" s="23"/>
      <c r="O269" s="26"/>
    </row>
    <row r="270" spans="1:15" x14ac:dyDescent="0.25">
      <c r="A270" s="25"/>
      <c r="B270" s="23"/>
      <c r="C270" s="22"/>
      <c r="D270" s="23"/>
      <c r="E270" s="22"/>
      <c r="F270" s="22"/>
      <c r="G270" s="22"/>
      <c r="H270" s="22"/>
      <c r="I270" s="22"/>
      <c r="J270" s="22"/>
      <c r="K270" s="71"/>
      <c r="L270" s="22"/>
      <c r="M270" s="21">
        <f t="shared" si="24"/>
        <v>0</v>
      </c>
      <c r="N270" s="23"/>
      <c r="O270" s="26"/>
    </row>
    <row r="271" spans="1:15" x14ac:dyDescent="0.25">
      <c r="A271" s="25"/>
      <c r="B271" s="23"/>
      <c r="C271" s="22"/>
      <c r="D271" s="23"/>
      <c r="E271" s="22"/>
      <c r="F271" s="22"/>
      <c r="G271" s="22"/>
      <c r="H271" s="22"/>
      <c r="I271" s="22"/>
      <c r="J271" s="22"/>
      <c r="K271" s="71"/>
      <c r="L271" s="22"/>
      <c r="M271" s="21">
        <f t="shared" si="24"/>
        <v>0</v>
      </c>
      <c r="N271" s="23"/>
      <c r="O271" s="26"/>
    </row>
    <row r="272" spans="1:15" x14ac:dyDescent="0.25">
      <c r="A272" s="25"/>
      <c r="B272" s="23"/>
      <c r="C272" s="22"/>
      <c r="D272" s="23"/>
      <c r="E272" s="22"/>
      <c r="F272" s="22"/>
      <c r="G272" s="22"/>
      <c r="H272" s="22"/>
      <c r="I272" s="22"/>
      <c r="J272" s="22"/>
      <c r="K272" s="71"/>
      <c r="L272" s="22"/>
      <c r="M272" s="21">
        <f t="shared" si="24"/>
        <v>0</v>
      </c>
      <c r="N272" s="23"/>
      <c r="O272" s="26"/>
    </row>
    <row r="273" spans="1:15" x14ac:dyDescent="0.25">
      <c r="A273" s="25"/>
      <c r="B273" s="23"/>
      <c r="C273" s="22"/>
      <c r="D273" s="23"/>
      <c r="E273" s="22"/>
      <c r="F273" s="22"/>
      <c r="G273" s="22"/>
      <c r="H273" s="22"/>
      <c r="I273" s="22"/>
      <c r="J273" s="22"/>
      <c r="K273" s="71"/>
      <c r="L273" s="22"/>
      <c r="M273" s="21">
        <f t="shared" si="24"/>
        <v>0</v>
      </c>
      <c r="N273" s="23"/>
      <c r="O273" s="26"/>
    </row>
    <row r="274" spans="1:15" x14ac:dyDescent="0.25">
      <c r="A274" s="25"/>
      <c r="B274" s="23"/>
      <c r="C274" s="22"/>
      <c r="D274" s="23"/>
      <c r="E274" s="22"/>
      <c r="F274" s="22"/>
      <c r="G274" s="22"/>
      <c r="H274" s="22"/>
      <c r="I274" s="22"/>
      <c r="J274" s="22"/>
      <c r="K274" s="71"/>
      <c r="L274" s="22"/>
      <c r="M274" s="21">
        <f t="shared" si="24"/>
        <v>0</v>
      </c>
      <c r="N274" s="23"/>
      <c r="O274" s="26"/>
    </row>
    <row r="275" spans="1:15" x14ac:dyDescent="0.25">
      <c r="A275" s="25"/>
      <c r="B275" s="23"/>
      <c r="C275" s="22"/>
      <c r="D275" s="23"/>
      <c r="E275" s="22"/>
      <c r="F275" s="22"/>
      <c r="G275" s="22"/>
      <c r="H275" s="22"/>
      <c r="I275" s="22"/>
      <c r="J275" s="22"/>
      <c r="K275" s="71"/>
      <c r="L275" s="22"/>
      <c r="M275" s="21">
        <f t="shared" si="24"/>
        <v>0</v>
      </c>
      <c r="N275" s="23"/>
      <c r="O275" s="26"/>
    </row>
    <row r="276" spans="1:15" x14ac:dyDescent="0.25">
      <c r="A276" s="25"/>
      <c r="B276" s="23"/>
      <c r="C276" s="22"/>
      <c r="D276" s="23"/>
      <c r="E276" s="22"/>
      <c r="F276" s="22"/>
      <c r="G276" s="22"/>
      <c r="H276" s="22"/>
      <c r="I276" s="22"/>
      <c r="J276" s="22"/>
      <c r="K276" s="71"/>
      <c r="L276" s="22"/>
      <c r="M276" s="21">
        <f t="shared" si="24"/>
        <v>0</v>
      </c>
      <c r="N276" s="23"/>
      <c r="O276" s="26"/>
    </row>
    <row r="277" spans="1:15" x14ac:dyDescent="0.25">
      <c r="A277" s="25"/>
      <c r="B277" s="23"/>
      <c r="C277" s="22"/>
      <c r="D277" s="23"/>
      <c r="E277" s="22"/>
      <c r="F277" s="22"/>
      <c r="G277" s="22"/>
      <c r="H277" s="22"/>
      <c r="I277" s="22"/>
      <c r="J277" s="22"/>
      <c r="K277" s="71"/>
      <c r="L277" s="22"/>
      <c r="M277" s="21">
        <f t="shared" ref="M277:M318" si="25">-E277-F277-G277-H277+I277+J277+K277+L277</f>
        <v>0</v>
      </c>
      <c r="N277" s="23"/>
      <c r="O277" s="26"/>
    </row>
    <row r="278" spans="1:15" x14ac:dyDescent="0.25">
      <c r="A278" s="25"/>
      <c r="B278" s="23"/>
      <c r="C278" s="22"/>
      <c r="D278" s="23"/>
      <c r="E278" s="22"/>
      <c r="F278" s="22"/>
      <c r="G278" s="22"/>
      <c r="H278" s="22"/>
      <c r="I278" s="22"/>
      <c r="J278" s="22"/>
      <c r="K278" s="71"/>
      <c r="L278" s="22"/>
      <c r="M278" s="21">
        <f t="shared" si="25"/>
        <v>0</v>
      </c>
      <c r="N278" s="23"/>
      <c r="O278" s="26"/>
    </row>
    <row r="279" spans="1:15" x14ac:dyDescent="0.25">
      <c r="A279" s="25"/>
      <c r="B279" s="23"/>
      <c r="C279" s="22"/>
      <c r="D279" s="23"/>
      <c r="E279" s="22"/>
      <c r="F279" s="22"/>
      <c r="G279" s="22"/>
      <c r="H279" s="22"/>
      <c r="I279" s="22"/>
      <c r="J279" s="22"/>
      <c r="K279" s="71"/>
      <c r="L279" s="22"/>
      <c r="M279" s="21">
        <f t="shared" si="25"/>
        <v>0</v>
      </c>
      <c r="N279" s="23"/>
      <c r="O279" s="26"/>
    </row>
    <row r="280" spans="1:15" x14ac:dyDescent="0.25">
      <c r="A280" s="25"/>
      <c r="B280" s="23"/>
      <c r="C280" s="22"/>
      <c r="D280" s="23"/>
      <c r="E280" s="22"/>
      <c r="F280" s="22"/>
      <c r="G280" s="22"/>
      <c r="H280" s="22"/>
      <c r="I280" s="22"/>
      <c r="J280" s="22"/>
      <c r="K280" s="71"/>
      <c r="L280" s="22"/>
      <c r="M280" s="21">
        <f t="shared" si="25"/>
        <v>0</v>
      </c>
      <c r="N280" s="23"/>
      <c r="O280" s="26"/>
    </row>
    <row r="281" spans="1:15" x14ac:dyDescent="0.25">
      <c r="A281" s="25"/>
      <c r="B281" s="23"/>
      <c r="C281" s="22"/>
      <c r="D281" s="23"/>
      <c r="E281" s="22"/>
      <c r="F281" s="22"/>
      <c r="G281" s="22"/>
      <c r="H281" s="22"/>
      <c r="I281" s="22"/>
      <c r="J281" s="22"/>
      <c r="K281" s="71"/>
      <c r="L281" s="22"/>
      <c r="M281" s="21">
        <f t="shared" si="25"/>
        <v>0</v>
      </c>
      <c r="N281" s="23"/>
      <c r="O281" s="26"/>
    </row>
    <row r="282" spans="1:15" x14ac:dyDescent="0.25">
      <c r="A282" s="25"/>
      <c r="B282" s="23"/>
      <c r="C282" s="22"/>
      <c r="D282" s="23"/>
      <c r="E282" s="22"/>
      <c r="F282" s="22"/>
      <c r="G282" s="22"/>
      <c r="H282" s="22"/>
      <c r="I282" s="22"/>
      <c r="J282" s="22"/>
      <c r="K282" s="71"/>
      <c r="L282" s="22"/>
      <c r="M282" s="21">
        <f t="shared" si="25"/>
        <v>0</v>
      </c>
      <c r="N282" s="23"/>
      <c r="O282" s="26"/>
    </row>
    <row r="283" spans="1:15" x14ac:dyDescent="0.25">
      <c r="A283" s="25"/>
      <c r="B283" s="23"/>
      <c r="C283" s="22"/>
      <c r="D283" s="23"/>
      <c r="E283" s="22"/>
      <c r="F283" s="22"/>
      <c r="G283" s="22"/>
      <c r="H283" s="22"/>
      <c r="I283" s="22"/>
      <c r="J283" s="22"/>
      <c r="K283" s="71"/>
      <c r="L283" s="22"/>
      <c r="M283" s="21">
        <f t="shared" si="25"/>
        <v>0</v>
      </c>
      <c r="N283" s="23"/>
      <c r="O283" s="26"/>
    </row>
    <row r="284" spans="1:15" x14ac:dyDescent="0.25">
      <c r="A284" s="25"/>
      <c r="B284" s="23"/>
      <c r="C284" s="22"/>
      <c r="D284" s="23"/>
      <c r="E284" s="22"/>
      <c r="F284" s="22"/>
      <c r="G284" s="22"/>
      <c r="H284" s="22"/>
      <c r="I284" s="22"/>
      <c r="J284" s="22"/>
      <c r="K284" s="71"/>
      <c r="L284" s="22"/>
      <c r="M284" s="21">
        <f t="shared" si="25"/>
        <v>0</v>
      </c>
      <c r="N284" s="23"/>
      <c r="O284" s="26"/>
    </row>
    <row r="285" spans="1:15" x14ac:dyDescent="0.25">
      <c r="A285" s="25"/>
      <c r="B285" s="23"/>
      <c r="C285" s="22"/>
      <c r="D285" s="23"/>
      <c r="E285" s="22"/>
      <c r="F285" s="22"/>
      <c r="G285" s="22"/>
      <c r="H285" s="22"/>
      <c r="I285" s="22"/>
      <c r="J285" s="22"/>
      <c r="K285" s="71"/>
      <c r="L285" s="22"/>
      <c r="M285" s="21">
        <f t="shared" si="25"/>
        <v>0</v>
      </c>
      <c r="N285" s="23"/>
      <c r="O285" s="26"/>
    </row>
    <row r="286" spans="1:15" x14ac:dyDescent="0.25">
      <c r="A286" s="25"/>
      <c r="B286" s="23"/>
      <c r="C286" s="22"/>
      <c r="D286" s="23"/>
      <c r="E286" s="22"/>
      <c r="F286" s="22"/>
      <c r="G286" s="22"/>
      <c r="H286" s="22"/>
      <c r="I286" s="22"/>
      <c r="J286" s="22"/>
      <c r="K286" s="71"/>
      <c r="L286" s="22"/>
      <c r="M286" s="21">
        <f t="shared" si="25"/>
        <v>0</v>
      </c>
      <c r="N286" s="23"/>
      <c r="O286" s="26"/>
    </row>
    <row r="287" spans="1:15" x14ac:dyDescent="0.25">
      <c r="A287" s="25"/>
      <c r="B287" s="23"/>
      <c r="C287" s="22"/>
      <c r="D287" s="23"/>
      <c r="E287" s="22"/>
      <c r="F287" s="22"/>
      <c r="G287" s="22"/>
      <c r="H287" s="22"/>
      <c r="I287" s="22"/>
      <c r="J287" s="22"/>
      <c r="K287" s="71"/>
      <c r="L287" s="22"/>
      <c r="M287" s="21">
        <f t="shared" si="25"/>
        <v>0</v>
      </c>
      <c r="N287" s="23"/>
      <c r="O287" s="26"/>
    </row>
    <row r="288" spans="1:15" x14ac:dyDescent="0.25">
      <c r="A288" s="25"/>
      <c r="B288" s="23"/>
      <c r="C288" s="22"/>
      <c r="D288" s="23"/>
      <c r="E288" s="22"/>
      <c r="F288" s="22"/>
      <c r="G288" s="22"/>
      <c r="H288" s="22"/>
      <c r="I288" s="22"/>
      <c r="J288" s="22"/>
      <c r="K288" s="71"/>
      <c r="L288" s="22"/>
      <c r="M288" s="21">
        <f t="shared" si="25"/>
        <v>0</v>
      </c>
      <c r="N288" s="23"/>
      <c r="O288" s="26"/>
    </row>
    <row r="289" spans="1:15" x14ac:dyDescent="0.25">
      <c r="A289" s="25"/>
      <c r="B289" s="23"/>
      <c r="C289" s="22"/>
      <c r="D289" s="23"/>
      <c r="E289" s="22"/>
      <c r="F289" s="22"/>
      <c r="G289" s="22"/>
      <c r="H289" s="22"/>
      <c r="I289" s="22"/>
      <c r="J289" s="22"/>
      <c r="K289" s="71"/>
      <c r="L289" s="22"/>
      <c r="M289" s="21">
        <f t="shared" si="25"/>
        <v>0</v>
      </c>
      <c r="N289" s="23"/>
      <c r="O289" s="26"/>
    </row>
    <row r="290" spans="1:15" x14ac:dyDescent="0.25">
      <c r="A290" s="25"/>
      <c r="B290" s="23"/>
      <c r="C290" s="22"/>
      <c r="D290" s="23"/>
      <c r="E290" s="22"/>
      <c r="F290" s="22"/>
      <c r="G290" s="22"/>
      <c r="H290" s="22"/>
      <c r="I290" s="22"/>
      <c r="J290" s="22"/>
      <c r="K290" s="71"/>
      <c r="L290" s="22"/>
      <c r="M290" s="21">
        <f t="shared" si="25"/>
        <v>0</v>
      </c>
      <c r="N290" s="23"/>
      <c r="O290" s="26"/>
    </row>
    <row r="291" spans="1:15" x14ac:dyDescent="0.25">
      <c r="A291" s="25"/>
      <c r="B291" s="23"/>
      <c r="C291" s="22"/>
      <c r="D291" s="23"/>
      <c r="E291" s="22"/>
      <c r="F291" s="22"/>
      <c r="G291" s="22"/>
      <c r="H291" s="22"/>
      <c r="I291" s="22"/>
      <c r="J291" s="22"/>
      <c r="K291" s="71"/>
      <c r="L291" s="22"/>
      <c r="M291" s="21">
        <f t="shared" si="25"/>
        <v>0</v>
      </c>
      <c r="N291" s="23"/>
      <c r="O291" s="26"/>
    </row>
    <row r="292" spans="1:15" x14ac:dyDescent="0.25">
      <c r="A292" s="25"/>
      <c r="B292" s="23"/>
      <c r="C292" s="22"/>
      <c r="D292" s="23"/>
      <c r="E292" s="22"/>
      <c r="F292" s="22"/>
      <c r="G292" s="22"/>
      <c r="H292" s="22"/>
      <c r="I292" s="22"/>
      <c r="J292" s="22"/>
      <c r="K292" s="71"/>
      <c r="L292" s="22"/>
      <c r="M292" s="21">
        <f t="shared" si="25"/>
        <v>0</v>
      </c>
      <c r="N292" s="23"/>
      <c r="O292" s="26"/>
    </row>
    <row r="293" spans="1:15" x14ac:dyDescent="0.25">
      <c r="A293" s="25"/>
      <c r="B293" s="23"/>
      <c r="C293" s="22"/>
      <c r="D293" s="23"/>
      <c r="E293" s="22"/>
      <c r="F293" s="22"/>
      <c r="G293" s="22"/>
      <c r="H293" s="22"/>
      <c r="I293" s="22"/>
      <c r="J293" s="22"/>
      <c r="K293" s="71"/>
      <c r="L293" s="22"/>
      <c r="M293" s="21">
        <f t="shared" si="25"/>
        <v>0</v>
      </c>
      <c r="N293" s="23"/>
      <c r="O293" s="26"/>
    </row>
    <row r="294" spans="1:15" x14ac:dyDescent="0.25">
      <c r="A294" s="25"/>
      <c r="B294" s="23"/>
      <c r="C294" s="22"/>
      <c r="D294" s="23"/>
      <c r="E294" s="22"/>
      <c r="F294" s="22"/>
      <c r="G294" s="22"/>
      <c r="H294" s="22"/>
      <c r="I294" s="22"/>
      <c r="J294" s="22"/>
      <c r="K294" s="71"/>
      <c r="L294" s="22"/>
      <c r="M294" s="21">
        <f t="shared" si="25"/>
        <v>0</v>
      </c>
      <c r="N294" s="23"/>
      <c r="O294" s="26"/>
    </row>
    <row r="295" spans="1:15" x14ac:dyDescent="0.25">
      <c r="A295" s="25"/>
      <c r="B295" s="23"/>
      <c r="C295" s="22"/>
      <c r="D295" s="23"/>
      <c r="E295" s="22"/>
      <c r="F295" s="22"/>
      <c r="G295" s="22"/>
      <c r="H295" s="22"/>
      <c r="I295" s="22"/>
      <c r="J295" s="22"/>
      <c r="K295" s="71"/>
      <c r="L295" s="22"/>
      <c r="M295" s="21">
        <f t="shared" si="25"/>
        <v>0</v>
      </c>
      <c r="N295" s="23"/>
      <c r="O295" s="26"/>
    </row>
    <row r="296" spans="1:15" x14ac:dyDescent="0.25">
      <c r="A296" s="25"/>
      <c r="B296" s="23"/>
      <c r="C296" s="22"/>
      <c r="D296" s="23"/>
      <c r="E296" s="22"/>
      <c r="F296" s="22"/>
      <c r="G296" s="22"/>
      <c r="H296" s="22"/>
      <c r="I296" s="22"/>
      <c r="J296" s="22"/>
      <c r="K296" s="71"/>
      <c r="L296" s="22"/>
      <c r="M296" s="21">
        <f t="shared" si="25"/>
        <v>0</v>
      </c>
      <c r="N296" s="23"/>
      <c r="O296" s="26"/>
    </row>
    <row r="297" spans="1:15" x14ac:dyDescent="0.25">
      <c r="A297" s="25"/>
      <c r="B297" s="23"/>
      <c r="C297" s="22"/>
      <c r="D297" s="23"/>
      <c r="E297" s="22"/>
      <c r="F297" s="22"/>
      <c r="G297" s="22"/>
      <c r="H297" s="22"/>
      <c r="I297" s="22"/>
      <c r="J297" s="22"/>
      <c r="K297" s="71"/>
      <c r="L297" s="22"/>
      <c r="M297" s="21">
        <f t="shared" si="25"/>
        <v>0</v>
      </c>
      <c r="N297" s="23"/>
      <c r="O297" s="26"/>
    </row>
    <row r="298" spans="1:15" x14ac:dyDescent="0.25">
      <c r="A298" s="25"/>
      <c r="B298" s="23"/>
      <c r="C298" s="22"/>
      <c r="D298" s="23"/>
      <c r="E298" s="22"/>
      <c r="F298" s="22"/>
      <c r="G298" s="22"/>
      <c r="H298" s="22"/>
      <c r="I298" s="22"/>
      <c r="J298" s="22"/>
      <c r="K298" s="71"/>
      <c r="L298" s="22"/>
      <c r="M298" s="21">
        <f t="shared" si="25"/>
        <v>0</v>
      </c>
      <c r="N298" s="23"/>
      <c r="O298" s="26"/>
    </row>
    <row r="299" spans="1:15" x14ac:dyDescent="0.25">
      <c r="A299" s="25"/>
      <c r="B299" s="23"/>
      <c r="C299" s="22"/>
      <c r="D299" s="23"/>
      <c r="E299" s="22"/>
      <c r="F299" s="22"/>
      <c r="G299" s="22"/>
      <c r="H299" s="22"/>
      <c r="I299" s="22"/>
      <c r="J299" s="22"/>
      <c r="K299" s="71"/>
      <c r="L299" s="22"/>
      <c r="M299" s="21">
        <f t="shared" si="25"/>
        <v>0</v>
      </c>
      <c r="N299" s="23"/>
      <c r="O299" s="26"/>
    </row>
    <row r="300" spans="1:15" x14ac:dyDescent="0.25">
      <c r="A300" s="25"/>
      <c r="B300" s="23"/>
      <c r="C300" s="22"/>
      <c r="D300" s="23"/>
      <c r="E300" s="22"/>
      <c r="F300" s="22"/>
      <c r="G300" s="22"/>
      <c r="H300" s="22"/>
      <c r="I300" s="22"/>
      <c r="J300" s="22"/>
      <c r="K300" s="71"/>
      <c r="L300" s="22"/>
      <c r="M300" s="21">
        <f t="shared" si="25"/>
        <v>0</v>
      </c>
      <c r="N300" s="23"/>
      <c r="O300" s="26"/>
    </row>
    <row r="301" spans="1:15" x14ac:dyDescent="0.25">
      <c r="A301" s="25"/>
      <c r="B301" s="23"/>
      <c r="C301" s="22"/>
      <c r="D301" s="23"/>
      <c r="E301" s="22"/>
      <c r="F301" s="22"/>
      <c r="G301" s="22"/>
      <c r="H301" s="22"/>
      <c r="I301" s="22"/>
      <c r="J301" s="22"/>
      <c r="K301" s="71"/>
      <c r="L301" s="22"/>
      <c r="M301" s="21">
        <f t="shared" si="25"/>
        <v>0</v>
      </c>
      <c r="N301" s="23"/>
      <c r="O301" s="26"/>
    </row>
    <row r="302" spans="1:15" x14ac:dyDescent="0.25">
      <c r="A302" s="25"/>
      <c r="B302" s="23"/>
      <c r="C302" s="22"/>
      <c r="D302" s="23"/>
      <c r="E302" s="22"/>
      <c r="F302" s="22"/>
      <c r="G302" s="22"/>
      <c r="H302" s="22"/>
      <c r="I302" s="22"/>
      <c r="J302" s="22"/>
      <c r="K302" s="71"/>
      <c r="L302" s="22"/>
      <c r="M302" s="21">
        <f t="shared" si="25"/>
        <v>0</v>
      </c>
      <c r="N302" s="23"/>
      <c r="O302" s="26"/>
    </row>
    <row r="303" spans="1:15" x14ac:dyDescent="0.25">
      <c r="A303" s="25"/>
      <c r="B303" s="23"/>
      <c r="C303" s="22"/>
      <c r="D303" s="23"/>
      <c r="E303" s="22"/>
      <c r="F303" s="22"/>
      <c r="G303" s="22"/>
      <c r="H303" s="22"/>
      <c r="I303" s="22"/>
      <c r="J303" s="22"/>
      <c r="K303" s="71"/>
      <c r="L303" s="22"/>
      <c r="M303" s="21">
        <f t="shared" si="25"/>
        <v>0</v>
      </c>
      <c r="N303" s="23"/>
      <c r="O303" s="26"/>
    </row>
    <row r="304" spans="1:15" x14ac:dyDescent="0.25">
      <c r="A304" s="25"/>
      <c r="B304" s="23"/>
      <c r="C304" s="22"/>
      <c r="D304" s="23"/>
      <c r="E304" s="22"/>
      <c r="F304" s="22"/>
      <c r="G304" s="22"/>
      <c r="H304" s="22"/>
      <c r="I304" s="22"/>
      <c r="J304" s="22"/>
      <c r="K304" s="71"/>
      <c r="L304" s="22"/>
      <c r="M304" s="21">
        <f t="shared" si="25"/>
        <v>0</v>
      </c>
      <c r="N304" s="23"/>
      <c r="O304" s="26"/>
    </row>
    <row r="305" spans="1:15" x14ac:dyDescent="0.25">
      <c r="A305" s="25"/>
      <c r="B305" s="23"/>
      <c r="C305" s="22"/>
      <c r="D305" s="23"/>
      <c r="E305" s="22"/>
      <c r="F305" s="22"/>
      <c r="G305" s="22"/>
      <c r="H305" s="22"/>
      <c r="I305" s="22"/>
      <c r="J305" s="22"/>
      <c r="K305" s="71"/>
      <c r="L305" s="22"/>
      <c r="M305" s="21">
        <f t="shared" si="25"/>
        <v>0</v>
      </c>
      <c r="N305" s="23"/>
      <c r="O305" s="26"/>
    </row>
    <row r="306" spans="1:15" x14ac:dyDescent="0.25">
      <c r="A306" s="25"/>
      <c r="B306" s="23"/>
      <c r="C306" s="22"/>
      <c r="D306" s="23"/>
      <c r="E306" s="22"/>
      <c r="F306" s="22"/>
      <c r="G306" s="22"/>
      <c r="H306" s="22"/>
      <c r="I306" s="22"/>
      <c r="J306" s="22"/>
      <c r="K306" s="71"/>
      <c r="L306" s="22"/>
      <c r="M306" s="21">
        <f t="shared" si="25"/>
        <v>0</v>
      </c>
      <c r="N306" s="23"/>
      <c r="O306" s="26"/>
    </row>
    <row r="307" spans="1:15" x14ac:dyDescent="0.25">
      <c r="A307" s="25"/>
      <c r="B307" s="23"/>
      <c r="C307" s="22"/>
      <c r="D307" s="23"/>
      <c r="E307" s="22"/>
      <c r="F307" s="22"/>
      <c r="G307" s="22"/>
      <c r="H307" s="22"/>
      <c r="I307" s="22"/>
      <c r="J307" s="22"/>
      <c r="K307" s="71"/>
      <c r="L307" s="22"/>
      <c r="M307" s="21">
        <f t="shared" si="25"/>
        <v>0</v>
      </c>
      <c r="N307" s="23"/>
      <c r="O307" s="26"/>
    </row>
    <row r="308" spans="1:15" x14ac:dyDescent="0.25">
      <c r="A308" s="25"/>
      <c r="B308" s="23"/>
      <c r="C308" s="22"/>
      <c r="D308" s="23"/>
      <c r="E308" s="22"/>
      <c r="F308" s="22"/>
      <c r="G308" s="22"/>
      <c r="H308" s="22"/>
      <c r="I308" s="22"/>
      <c r="J308" s="22"/>
      <c r="K308" s="71"/>
      <c r="L308" s="22"/>
      <c r="M308" s="21">
        <f t="shared" si="25"/>
        <v>0</v>
      </c>
      <c r="N308" s="23"/>
      <c r="O308" s="26"/>
    </row>
    <row r="309" spans="1:15" x14ac:dyDescent="0.25">
      <c r="A309" s="25"/>
      <c r="B309" s="23"/>
      <c r="C309" s="22"/>
      <c r="D309" s="23"/>
      <c r="E309" s="22"/>
      <c r="F309" s="22"/>
      <c r="G309" s="22"/>
      <c r="H309" s="22"/>
      <c r="I309" s="22"/>
      <c r="J309" s="22"/>
      <c r="K309" s="71"/>
      <c r="L309" s="22"/>
      <c r="M309" s="21">
        <f t="shared" si="25"/>
        <v>0</v>
      </c>
      <c r="N309" s="23"/>
      <c r="O309" s="26"/>
    </row>
    <row r="310" spans="1:15" x14ac:dyDescent="0.25">
      <c r="A310" s="25"/>
      <c r="B310" s="23"/>
      <c r="C310" s="22"/>
      <c r="D310" s="23"/>
      <c r="E310" s="22"/>
      <c r="F310" s="22"/>
      <c r="G310" s="22"/>
      <c r="H310" s="22"/>
      <c r="I310" s="22"/>
      <c r="J310" s="22"/>
      <c r="K310" s="71"/>
      <c r="L310" s="22"/>
      <c r="M310" s="21">
        <f t="shared" si="25"/>
        <v>0</v>
      </c>
      <c r="N310" s="23"/>
      <c r="O310" s="26"/>
    </row>
    <row r="311" spans="1:15" x14ac:dyDescent="0.25">
      <c r="A311" s="25"/>
      <c r="B311" s="23"/>
      <c r="C311" s="22"/>
      <c r="D311" s="23"/>
      <c r="E311" s="22"/>
      <c r="F311" s="22"/>
      <c r="G311" s="22"/>
      <c r="H311" s="22"/>
      <c r="I311" s="22"/>
      <c r="J311" s="22"/>
      <c r="K311" s="71"/>
      <c r="L311" s="22"/>
      <c r="M311" s="21">
        <f t="shared" si="25"/>
        <v>0</v>
      </c>
      <c r="N311" s="23"/>
      <c r="O311" s="26"/>
    </row>
    <row r="312" spans="1:15" x14ac:dyDescent="0.25">
      <c r="A312" s="25"/>
      <c r="B312" s="23"/>
      <c r="C312" s="22"/>
      <c r="D312" s="23"/>
      <c r="E312" s="22"/>
      <c r="F312" s="22"/>
      <c r="G312" s="22"/>
      <c r="H312" s="22"/>
      <c r="I312" s="22"/>
      <c r="J312" s="22"/>
      <c r="K312" s="71"/>
      <c r="L312" s="22"/>
      <c r="M312" s="21">
        <f t="shared" si="25"/>
        <v>0</v>
      </c>
      <c r="N312" s="23"/>
      <c r="O312" s="26"/>
    </row>
    <row r="313" spans="1:15" x14ac:dyDescent="0.25">
      <c r="A313" s="25"/>
      <c r="B313" s="23"/>
      <c r="C313" s="22"/>
      <c r="D313" s="23"/>
      <c r="E313" s="22"/>
      <c r="F313" s="22"/>
      <c r="G313" s="22"/>
      <c r="H313" s="22"/>
      <c r="I313" s="22"/>
      <c r="J313" s="22"/>
      <c r="K313" s="71"/>
      <c r="L313" s="22"/>
      <c r="M313" s="21">
        <f t="shared" si="25"/>
        <v>0</v>
      </c>
      <c r="N313" s="23"/>
      <c r="O313" s="26"/>
    </row>
    <row r="314" spans="1:15" x14ac:dyDescent="0.25">
      <c r="A314" s="25"/>
      <c r="B314" s="23"/>
      <c r="C314" s="22"/>
      <c r="D314" s="23"/>
      <c r="E314" s="22"/>
      <c r="F314" s="22"/>
      <c r="G314" s="22"/>
      <c r="H314" s="22"/>
      <c r="I314" s="22"/>
      <c r="J314" s="22"/>
      <c r="K314" s="71"/>
      <c r="L314" s="22"/>
      <c r="M314" s="21">
        <f t="shared" si="25"/>
        <v>0</v>
      </c>
      <c r="N314" s="23"/>
      <c r="O314" s="26"/>
    </row>
    <row r="315" spans="1:15" x14ac:dyDescent="0.25">
      <c r="A315" s="25"/>
      <c r="B315" s="23"/>
      <c r="C315" s="22"/>
      <c r="D315" s="23"/>
      <c r="E315" s="22"/>
      <c r="F315" s="22"/>
      <c r="G315" s="22"/>
      <c r="H315" s="22"/>
      <c r="I315" s="22"/>
      <c r="J315" s="22"/>
      <c r="K315" s="71"/>
      <c r="L315" s="22"/>
      <c r="M315" s="21">
        <f t="shared" si="25"/>
        <v>0</v>
      </c>
      <c r="N315" s="23"/>
      <c r="O315" s="26"/>
    </row>
    <row r="316" spans="1:15" x14ac:dyDescent="0.25">
      <c r="A316" s="25"/>
      <c r="B316" s="23"/>
      <c r="C316" s="22"/>
      <c r="D316" s="23"/>
      <c r="E316" s="22"/>
      <c r="F316" s="22"/>
      <c r="G316" s="22"/>
      <c r="H316" s="22"/>
      <c r="I316" s="22"/>
      <c r="J316" s="22"/>
      <c r="K316" s="71"/>
      <c r="L316" s="22"/>
      <c r="M316" s="21">
        <f t="shared" si="25"/>
        <v>0</v>
      </c>
      <c r="N316" s="23"/>
      <c r="O316" s="26"/>
    </row>
    <row r="317" spans="1:15" x14ac:dyDescent="0.25">
      <c r="A317" s="25"/>
      <c r="B317" s="23"/>
      <c r="C317" s="22"/>
      <c r="D317" s="23"/>
      <c r="E317" s="22"/>
      <c r="F317" s="22"/>
      <c r="G317" s="22"/>
      <c r="H317" s="22"/>
      <c r="I317" s="22"/>
      <c r="J317" s="22"/>
      <c r="K317" s="71"/>
      <c r="L317" s="22"/>
      <c r="M317" s="21">
        <f t="shared" si="25"/>
        <v>0</v>
      </c>
      <c r="N317" s="23"/>
      <c r="O317" s="26"/>
    </row>
    <row r="318" spans="1:15" x14ac:dyDescent="0.25">
      <c r="A318" s="25"/>
      <c r="B318" s="23"/>
      <c r="C318" s="22"/>
      <c r="D318" s="23"/>
      <c r="E318" s="22"/>
      <c r="F318" s="22"/>
      <c r="G318" s="22"/>
      <c r="H318" s="22"/>
      <c r="I318" s="22"/>
      <c r="J318" s="22"/>
      <c r="K318" s="71"/>
      <c r="L318" s="22"/>
      <c r="M318" s="21">
        <f t="shared" si="25"/>
        <v>0</v>
      </c>
      <c r="N318" s="23"/>
      <c r="O318" s="26"/>
    </row>
    <row r="319" spans="1:15" x14ac:dyDescent="0.25">
      <c r="A319" s="25"/>
      <c r="B319" s="23"/>
      <c r="C319" s="22"/>
      <c r="D319" s="23"/>
      <c r="E319" s="22"/>
      <c r="F319" s="22"/>
      <c r="G319" s="22"/>
      <c r="H319" s="22"/>
      <c r="I319" s="24"/>
      <c r="J319" s="22"/>
      <c r="K319" s="72"/>
      <c r="L319" s="24"/>
      <c r="M319" s="21">
        <f t="shared" ref="M319:M345" si="26">-E319-F319-G319-H319+I319+J319+K319+L319</f>
        <v>0</v>
      </c>
      <c r="N319" s="23"/>
      <c r="O319" s="26"/>
    </row>
    <row r="320" spans="1:15" x14ac:dyDescent="0.25">
      <c r="A320" s="25"/>
      <c r="B320" s="23"/>
      <c r="C320" s="22"/>
      <c r="D320" s="23"/>
      <c r="E320" s="22"/>
      <c r="F320" s="22"/>
      <c r="G320" s="22"/>
      <c r="H320" s="22"/>
      <c r="I320" s="24"/>
      <c r="J320" s="22"/>
      <c r="K320" s="72"/>
      <c r="L320" s="24"/>
      <c r="M320" s="21">
        <f t="shared" si="26"/>
        <v>0</v>
      </c>
      <c r="N320" s="23"/>
      <c r="O320" s="26"/>
    </row>
    <row r="321" spans="1:15" x14ac:dyDescent="0.25">
      <c r="A321" s="25"/>
      <c r="B321" s="23"/>
      <c r="C321" s="22"/>
      <c r="D321" s="23"/>
      <c r="E321" s="22"/>
      <c r="F321" s="22"/>
      <c r="G321" s="22"/>
      <c r="H321" s="22"/>
      <c r="I321" s="24"/>
      <c r="J321" s="22"/>
      <c r="K321" s="72"/>
      <c r="L321" s="24"/>
      <c r="M321" s="21">
        <f t="shared" si="26"/>
        <v>0</v>
      </c>
      <c r="N321" s="23"/>
      <c r="O321" s="26"/>
    </row>
    <row r="322" spans="1:15" x14ac:dyDescent="0.25">
      <c r="A322" s="25"/>
      <c r="B322" s="23"/>
      <c r="C322" s="22"/>
      <c r="D322" s="23"/>
      <c r="E322" s="22"/>
      <c r="F322" s="22"/>
      <c r="G322" s="22"/>
      <c r="H322" s="22"/>
      <c r="I322" s="24"/>
      <c r="J322" s="22"/>
      <c r="K322" s="72"/>
      <c r="L322" s="24"/>
      <c r="M322" s="21">
        <f t="shared" si="26"/>
        <v>0</v>
      </c>
      <c r="N322" s="23"/>
      <c r="O322" s="26"/>
    </row>
    <row r="323" spans="1:15" x14ac:dyDescent="0.25">
      <c r="A323" s="25"/>
      <c r="B323" s="23"/>
      <c r="C323" s="22"/>
      <c r="D323" s="23"/>
      <c r="E323" s="22"/>
      <c r="F323" s="22"/>
      <c r="G323" s="22"/>
      <c r="H323" s="22"/>
      <c r="I323" s="24"/>
      <c r="J323" s="22"/>
      <c r="K323" s="72"/>
      <c r="L323" s="24"/>
      <c r="M323" s="21">
        <f t="shared" si="26"/>
        <v>0</v>
      </c>
      <c r="N323" s="23"/>
      <c r="O323" s="26"/>
    </row>
    <row r="324" spans="1:15" x14ac:dyDescent="0.25">
      <c r="A324" s="25"/>
      <c r="B324" s="23"/>
      <c r="C324" s="22"/>
      <c r="D324" s="23"/>
      <c r="E324" s="22"/>
      <c r="F324" s="22"/>
      <c r="G324" s="22"/>
      <c r="H324" s="22"/>
      <c r="I324" s="24"/>
      <c r="J324" s="22"/>
      <c r="K324" s="72"/>
      <c r="L324" s="24"/>
      <c r="M324" s="21">
        <f t="shared" si="26"/>
        <v>0</v>
      </c>
      <c r="N324" s="23"/>
      <c r="O324" s="26"/>
    </row>
    <row r="325" spans="1:15" x14ac:dyDescent="0.25">
      <c r="A325" s="25"/>
      <c r="B325" s="23"/>
      <c r="C325" s="22"/>
      <c r="D325" s="23"/>
      <c r="E325" s="22"/>
      <c r="F325" s="22"/>
      <c r="G325" s="22"/>
      <c r="H325" s="22"/>
      <c r="I325" s="24"/>
      <c r="J325" s="22"/>
      <c r="K325" s="72"/>
      <c r="L325" s="24"/>
      <c r="M325" s="21">
        <f t="shared" si="26"/>
        <v>0</v>
      </c>
      <c r="N325" s="23"/>
      <c r="O325" s="26"/>
    </row>
    <row r="326" spans="1:15" x14ac:dyDescent="0.25">
      <c r="A326" s="25"/>
      <c r="B326" s="23"/>
      <c r="C326" s="22"/>
      <c r="D326" s="23"/>
      <c r="E326" s="22"/>
      <c r="F326" s="22"/>
      <c r="G326" s="22"/>
      <c r="H326" s="22"/>
      <c r="I326" s="24"/>
      <c r="J326" s="22"/>
      <c r="K326" s="72"/>
      <c r="L326" s="24"/>
      <c r="M326" s="21">
        <f t="shared" si="26"/>
        <v>0</v>
      </c>
      <c r="N326" s="23"/>
      <c r="O326" s="26"/>
    </row>
    <row r="327" spans="1:15" x14ac:dyDescent="0.25">
      <c r="A327" s="25"/>
      <c r="B327" s="23"/>
      <c r="C327" s="22"/>
      <c r="D327" s="23"/>
      <c r="E327" s="22"/>
      <c r="F327" s="22"/>
      <c r="G327" s="22"/>
      <c r="H327" s="22"/>
      <c r="I327" s="24"/>
      <c r="J327" s="22"/>
      <c r="K327" s="72"/>
      <c r="L327" s="24"/>
      <c r="M327" s="21">
        <f t="shared" si="26"/>
        <v>0</v>
      </c>
      <c r="N327" s="23"/>
      <c r="O327" s="26"/>
    </row>
    <row r="328" spans="1:15" x14ac:dyDescent="0.25">
      <c r="A328" s="25"/>
      <c r="B328" s="23"/>
      <c r="C328" s="22"/>
      <c r="D328" s="23"/>
      <c r="E328" s="22"/>
      <c r="F328" s="22"/>
      <c r="G328" s="22"/>
      <c r="H328" s="22"/>
      <c r="I328" s="24"/>
      <c r="J328" s="22"/>
      <c r="K328" s="72"/>
      <c r="L328" s="24"/>
      <c r="M328" s="21">
        <f t="shared" si="26"/>
        <v>0</v>
      </c>
      <c r="N328" s="23"/>
      <c r="O328" s="26"/>
    </row>
    <row r="329" spans="1:15" x14ac:dyDescent="0.25">
      <c r="A329" s="25"/>
      <c r="B329" s="23"/>
      <c r="C329" s="22"/>
      <c r="D329" s="23"/>
      <c r="E329" s="22"/>
      <c r="F329" s="22"/>
      <c r="G329" s="22"/>
      <c r="H329" s="22"/>
      <c r="I329" s="24"/>
      <c r="J329" s="22"/>
      <c r="K329" s="72"/>
      <c r="L329" s="24"/>
      <c r="M329" s="21">
        <f t="shared" si="26"/>
        <v>0</v>
      </c>
      <c r="N329" s="23"/>
      <c r="O329" s="26"/>
    </row>
    <row r="330" spans="1:15" x14ac:dyDescent="0.25">
      <c r="A330" s="25"/>
      <c r="B330" s="23"/>
      <c r="C330" s="22"/>
      <c r="D330" s="23"/>
      <c r="E330" s="22"/>
      <c r="F330" s="22"/>
      <c r="G330" s="22"/>
      <c r="H330" s="22"/>
      <c r="I330" s="24"/>
      <c r="J330" s="22"/>
      <c r="K330" s="72"/>
      <c r="L330" s="24"/>
      <c r="M330" s="21">
        <f t="shared" si="26"/>
        <v>0</v>
      </c>
      <c r="N330" s="23"/>
      <c r="O330" s="26"/>
    </row>
    <row r="331" spans="1:15" x14ac:dyDescent="0.25">
      <c r="A331" s="25"/>
      <c r="B331" s="23"/>
      <c r="C331" s="22"/>
      <c r="D331" s="23"/>
      <c r="E331" s="22"/>
      <c r="F331" s="22"/>
      <c r="G331" s="22"/>
      <c r="H331" s="22"/>
      <c r="I331" s="24"/>
      <c r="J331" s="22"/>
      <c r="K331" s="72"/>
      <c r="L331" s="24"/>
      <c r="M331" s="21">
        <f t="shared" si="26"/>
        <v>0</v>
      </c>
      <c r="N331" s="23"/>
      <c r="O331" s="26"/>
    </row>
    <row r="332" spans="1:15" x14ac:dyDescent="0.25">
      <c r="A332" s="25"/>
      <c r="B332" s="23"/>
      <c r="C332" s="22"/>
      <c r="D332" s="23"/>
      <c r="E332" s="22"/>
      <c r="F332" s="22"/>
      <c r="G332" s="22"/>
      <c r="H332" s="22"/>
      <c r="I332" s="24"/>
      <c r="J332" s="22"/>
      <c r="K332" s="72"/>
      <c r="L332" s="24"/>
      <c r="M332" s="21">
        <f t="shared" si="26"/>
        <v>0</v>
      </c>
      <c r="N332" s="23"/>
      <c r="O332" s="26"/>
    </row>
    <row r="333" spans="1:15" x14ac:dyDescent="0.25">
      <c r="A333" s="25"/>
      <c r="B333" s="23"/>
      <c r="C333" s="22"/>
      <c r="D333" s="23"/>
      <c r="E333" s="22"/>
      <c r="F333" s="22"/>
      <c r="G333" s="22"/>
      <c r="H333" s="22"/>
      <c r="I333" s="24"/>
      <c r="J333" s="22"/>
      <c r="K333" s="72"/>
      <c r="L333" s="24"/>
      <c r="M333" s="21">
        <f t="shared" si="26"/>
        <v>0</v>
      </c>
      <c r="N333" s="23"/>
      <c r="O333" s="26"/>
    </row>
    <row r="334" spans="1:15" x14ac:dyDescent="0.25">
      <c r="A334" s="25"/>
      <c r="B334" s="23"/>
      <c r="C334" s="22"/>
      <c r="D334" s="23"/>
      <c r="E334" s="22"/>
      <c r="F334" s="22"/>
      <c r="G334" s="22"/>
      <c r="H334" s="22"/>
      <c r="I334" s="24"/>
      <c r="J334" s="22"/>
      <c r="K334" s="72"/>
      <c r="L334" s="24"/>
      <c r="M334" s="21">
        <f t="shared" si="26"/>
        <v>0</v>
      </c>
      <c r="N334" s="23"/>
      <c r="O334" s="26"/>
    </row>
    <row r="335" spans="1:15" x14ac:dyDescent="0.25">
      <c r="A335" s="25"/>
      <c r="B335" s="23"/>
      <c r="C335" s="22"/>
      <c r="D335" s="23"/>
      <c r="E335" s="22"/>
      <c r="F335" s="22"/>
      <c r="G335" s="22"/>
      <c r="H335" s="22"/>
      <c r="I335" s="24"/>
      <c r="J335" s="22"/>
      <c r="K335" s="72"/>
      <c r="L335" s="24"/>
      <c r="M335" s="21">
        <f t="shared" si="26"/>
        <v>0</v>
      </c>
      <c r="N335" s="23"/>
      <c r="O335" s="26"/>
    </row>
    <row r="336" spans="1:15" x14ac:dyDescent="0.25">
      <c r="A336" s="25"/>
      <c r="B336" s="23"/>
      <c r="C336" s="22"/>
      <c r="D336" s="23"/>
      <c r="E336" s="22"/>
      <c r="F336" s="22"/>
      <c r="G336" s="22"/>
      <c r="H336" s="22"/>
      <c r="I336" s="24"/>
      <c r="J336" s="22"/>
      <c r="K336" s="72"/>
      <c r="L336" s="24"/>
      <c r="M336" s="21">
        <f t="shared" si="26"/>
        <v>0</v>
      </c>
      <c r="N336" s="23"/>
      <c r="O336" s="26"/>
    </row>
    <row r="337" spans="1:15" x14ac:dyDescent="0.25">
      <c r="A337" s="25"/>
      <c r="B337" s="23"/>
      <c r="C337" s="22"/>
      <c r="D337" s="23"/>
      <c r="E337" s="22"/>
      <c r="F337" s="22"/>
      <c r="G337" s="22"/>
      <c r="H337" s="22"/>
      <c r="I337" s="24"/>
      <c r="J337" s="22"/>
      <c r="K337" s="72"/>
      <c r="L337" s="24"/>
      <c r="M337" s="21">
        <f t="shared" si="26"/>
        <v>0</v>
      </c>
      <c r="N337" s="23"/>
      <c r="O337" s="26"/>
    </row>
    <row r="338" spans="1:15" x14ac:dyDescent="0.25">
      <c r="A338" s="25"/>
      <c r="B338" s="23"/>
      <c r="C338" s="22"/>
      <c r="D338" s="23"/>
      <c r="E338" s="22"/>
      <c r="F338" s="22"/>
      <c r="G338" s="22"/>
      <c r="H338" s="22"/>
      <c r="I338" s="24"/>
      <c r="J338" s="22"/>
      <c r="K338" s="72"/>
      <c r="L338" s="24"/>
      <c r="M338" s="21">
        <f t="shared" si="26"/>
        <v>0</v>
      </c>
      <c r="N338" s="23"/>
      <c r="O338" s="26"/>
    </row>
    <row r="339" spans="1:15" x14ac:dyDescent="0.25">
      <c r="A339" s="25"/>
      <c r="B339" s="23"/>
      <c r="C339" s="22"/>
      <c r="D339" s="23"/>
      <c r="E339" s="22"/>
      <c r="F339" s="22"/>
      <c r="G339" s="22"/>
      <c r="H339" s="22"/>
      <c r="I339" s="24"/>
      <c r="J339" s="22"/>
      <c r="K339" s="72"/>
      <c r="L339" s="24"/>
      <c r="M339" s="21">
        <f t="shared" si="26"/>
        <v>0</v>
      </c>
      <c r="N339" s="23"/>
      <c r="O339" s="26"/>
    </row>
    <row r="340" spans="1:15" x14ac:dyDescent="0.25">
      <c r="A340" s="25"/>
      <c r="B340" s="23"/>
      <c r="C340" s="22"/>
      <c r="D340" s="23"/>
      <c r="E340" s="22"/>
      <c r="F340" s="22"/>
      <c r="G340" s="22"/>
      <c r="H340" s="22"/>
      <c r="I340" s="24"/>
      <c r="J340" s="22"/>
      <c r="K340" s="72"/>
      <c r="L340" s="24"/>
      <c r="M340" s="21">
        <f t="shared" si="26"/>
        <v>0</v>
      </c>
      <c r="N340" s="23"/>
      <c r="O340" s="26"/>
    </row>
    <row r="341" spans="1:15" x14ac:dyDescent="0.25">
      <c r="A341" s="25"/>
      <c r="B341" s="23"/>
      <c r="C341" s="22"/>
      <c r="D341" s="23"/>
      <c r="E341" s="22"/>
      <c r="F341" s="22"/>
      <c r="G341" s="22"/>
      <c r="H341" s="22"/>
      <c r="I341" s="24"/>
      <c r="J341" s="22"/>
      <c r="K341" s="72"/>
      <c r="L341" s="24"/>
      <c r="M341" s="21">
        <f t="shared" si="26"/>
        <v>0</v>
      </c>
      <c r="N341" s="23"/>
      <c r="O341" s="26"/>
    </row>
    <row r="342" spans="1:15" x14ac:dyDescent="0.25">
      <c r="A342" s="25"/>
      <c r="B342" s="23"/>
      <c r="C342" s="22"/>
      <c r="D342" s="23"/>
      <c r="E342" s="22"/>
      <c r="F342" s="22"/>
      <c r="G342" s="22"/>
      <c r="H342" s="22"/>
      <c r="I342" s="24"/>
      <c r="J342" s="22"/>
      <c r="K342" s="72"/>
      <c r="L342" s="24"/>
      <c r="M342" s="21">
        <f t="shared" si="26"/>
        <v>0</v>
      </c>
      <c r="N342" s="23"/>
      <c r="O342" s="26"/>
    </row>
    <row r="343" spans="1:15" x14ac:dyDescent="0.25">
      <c r="A343" s="25"/>
      <c r="B343" s="23"/>
      <c r="C343" s="22"/>
      <c r="D343" s="23"/>
      <c r="E343" s="22"/>
      <c r="F343" s="22"/>
      <c r="G343" s="22"/>
      <c r="H343" s="22"/>
      <c r="I343" s="24"/>
      <c r="J343" s="22"/>
      <c r="K343" s="72"/>
      <c r="L343" s="24"/>
      <c r="M343" s="21">
        <f t="shared" si="26"/>
        <v>0</v>
      </c>
      <c r="N343" s="23"/>
      <c r="O343" s="26"/>
    </row>
    <row r="344" spans="1:15" x14ac:dyDescent="0.25">
      <c r="A344" s="25"/>
      <c r="B344" s="23"/>
      <c r="C344" s="22"/>
      <c r="D344" s="23"/>
      <c r="E344" s="22"/>
      <c r="F344" s="22"/>
      <c r="G344" s="22"/>
      <c r="H344" s="22"/>
      <c r="I344" s="24"/>
      <c r="J344" s="22"/>
      <c r="K344" s="72"/>
      <c r="L344" s="24"/>
      <c r="M344" s="21">
        <f t="shared" si="26"/>
        <v>0</v>
      </c>
      <c r="N344" s="23"/>
      <c r="O344" s="26"/>
    </row>
    <row r="345" spans="1:15" x14ac:dyDescent="0.25">
      <c r="A345" s="25"/>
      <c r="B345" s="23"/>
      <c r="C345" s="22"/>
      <c r="D345" s="23"/>
      <c r="E345" s="22"/>
      <c r="F345" s="22"/>
      <c r="G345" s="22"/>
      <c r="H345" s="22"/>
      <c r="I345" s="24"/>
      <c r="J345" s="22"/>
      <c r="K345" s="72"/>
      <c r="L345" s="24"/>
      <c r="M345" s="21">
        <f t="shared" si="26"/>
        <v>0</v>
      </c>
      <c r="N345" s="23"/>
      <c r="O345" s="26"/>
    </row>
  </sheetData>
  <mergeCells count="9">
    <mergeCell ref="M1:M2"/>
    <mergeCell ref="N1:N2"/>
    <mergeCell ref="O1:O2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  <pageSetup orientation="portrait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29"/>
  <sheetViews>
    <sheetView tabSelected="1" topLeftCell="A2" zoomScaleNormal="100" workbookViewId="0">
      <selection activeCell="P20" sqref="P20"/>
    </sheetView>
  </sheetViews>
  <sheetFormatPr defaultRowHeight="15" x14ac:dyDescent="0.25"/>
  <cols>
    <col min="1" max="1" width="6.5703125" bestFit="1" customWidth="1"/>
    <col min="2" max="2" width="19.85546875" customWidth="1"/>
    <col min="3" max="3" width="7.28515625" customWidth="1"/>
    <col min="4" max="4" width="6.140625" customWidth="1"/>
    <col min="5" max="7" width="7.28515625" customWidth="1"/>
    <col min="8" max="8" width="6.140625" customWidth="1"/>
    <col min="9" max="10" width="7.28515625" customWidth="1"/>
    <col min="11" max="13" width="6.85546875" bestFit="1" customWidth="1"/>
    <col min="14" max="15" width="6.5703125" bestFit="1" customWidth="1"/>
    <col min="16" max="16" width="6.28515625" bestFit="1" customWidth="1"/>
    <col min="17" max="17" width="6.5703125" bestFit="1" customWidth="1"/>
    <col min="18" max="18" width="4.7109375" bestFit="1" customWidth="1"/>
    <col min="19" max="19" width="6.5703125" bestFit="1" customWidth="1"/>
    <col min="20" max="20" width="1.42578125" hidden="1" customWidth="1"/>
    <col min="21" max="21" width="9.140625" hidden="1" customWidth="1"/>
    <col min="22" max="22" width="9.140625" customWidth="1"/>
    <col min="25" max="25" width="8.140625" bestFit="1" customWidth="1"/>
    <col min="37" max="37" width="26.7109375" bestFit="1" customWidth="1"/>
  </cols>
  <sheetData>
    <row r="1" spans="1:24" x14ac:dyDescent="0.25">
      <c r="A1" s="1" t="s">
        <v>0</v>
      </c>
      <c r="B1" s="1" t="s">
        <v>1</v>
      </c>
      <c r="C1" s="135" t="s">
        <v>2</v>
      </c>
      <c r="D1" s="136"/>
      <c r="E1" s="136"/>
      <c r="F1" s="137"/>
      <c r="G1" s="138" t="s">
        <v>3</v>
      </c>
      <c r="H1" s="139"/>
      <c r="I1" s="139"/>
      <c r="J1" s="140"/>
      <c r="K1" s="129" t="s">
        <v>4</v>
      </c>
      <c r="L1" s="130"/>
      <c r="M1" s="130"/>
      <c r="N1" s="131"/>
      <c r="O1" s="132" t="s">
        <v>8</v>
      </c>
      <c r="P1" s="133"/>
      <c r="Q1" s="133"/>
      <c r="R1" s="133"/>
      <c r="S1" s="134"/>
    </row>
    <row r="2" spans="1:24" x14ac:dyDescent="0.25">
      <c r="A2" s="3"/>
      <c r="B2" s="57">
        <v>46113</v>
      </c>
      <c r="C2" s="6" t="s">
        <v>36</v>
      </c>
      <c r="D2" s="65" t="s">
        <v>50</v>
      </c>
      <c r="E2" s="45" t="s">
        <v>5</v>
      </c>
      <c r="F2" s="2" t="s">
        <v>6</v>
      </c>
      <c r="G2" s="6" t="s">
        <v>36</v>
      </c>
      <c r="H2" s="65" t="s">
        <v>50</v>
      </c>
      <c r="I2" s="45" t="s">
        <v>5</v>
      </c>
      <c r="J2" s="2" t="s">
        <v>6</v>
      </c>
      <c r="K2" s="6" t="s">
        <v>36</v>
      </c>
      <c r="L2" s="65" t="s">
        <v>50</v>
      </c>
      <c r="M2" s="45" t="s">
        <v>5</v>
      </c>
      <c r="N2" s="2" t="s">
        <v>6</v>
      </c>
      <c r="O2" s="6" t="s">
        <v>36</v>
      </c>
      <c r="P2" s="65" t="s">
        <v>50</v>
      </c>
      <c r="Q2" s="45" t="s">
        <v>5</v>
      </c>
      <c r="R2" s="48" t="s">
        <v>37</v>
      </c>
      <c r="S2" s="2" t="s">
        <v>6</v>
      </c>
    </row>
    <row r="3" spans="1:24" x14ac:dyDescent="0.25">
      <c r="A3" s="1">
        <v>1</v>
      </c>
      <c r="B3" s="4" t="s">
        <v>30</v>
      </c>
      <c r="C3" s="5">
        <f>0</f>
        <v>0</v>
      </c>
      <c r="D3" s="5">
        <f>0</f>
        <v>0</v>
      </c>
      <c r="E3" s="5">
        <f>0</f>
        <v>0</v>
      </c>
      <c r="F3" s="40">
        <f t="shared" ref="F3:F11" si="0">C3+D3+E3</f>
        <v>0</v>
      </c>
      <c r="G3" s="5">
        <f>3</f>
        <v>3</v>
      </c>
      <c r="H3" s="5">
        <f>0</f>
        <v>0</v>
      </c>
      <c r="I3" s="5">
        <f>0</f>
        <v>0</v>
      </c>
      <c r="J3" s="19">
        <f>G3+H3+I3</f>
        <v>3</v>
      </c>
      <c r="K3" s="5">
        <f>C3-G3+(3)</f>
        <v>0</v>
      </c>
      <c r="L3" s="5">
        <f>D3-H3+(0)</f>
        <v>0</v>
      </c>
      <c r="M3" s="66">
        <f>E3-I3+(1.75)</f>
        <v>1.75</v>
      </c>
      <c r="N3" s="19">
        <f t="shared" ref="N3:N11" si="1">K3+L3+M3</f>
        <v>1.75</v>
      </c>
      <c r="O3" s="33">
        <f>35+45+42</f>
        <v>122</v>
      </c>
      <c r="P3" s="33">
        <f>0</f>
        <v>0</v>
      </c>
      <c r="Q3" s="19">
        <f>42+42</f>
        <v>84</v>
      </c>
      <c r="R3" s="19">
        <f>0</f>
        <v>0</v>
      </c>
      <c r="S3" s="33">
        <f>O3+P3+Q3+R3</f>
        <v>206</v>
      </c>
    </row>
    <row r="4" spans="1:24" x14ac:dyDescent="0.25">
      <c r="A4" s="1">
        <v>2</v>
      </c>
      <c r="B4" s="43" t="s">
        <v>33</v>
      </c>
      <c r="C4" s="5">
        <f>0</f>
        <v>0</v>
      </c>
      <c r="D4" s="5">
        <f>0</f>
        <v>0</v>
      </c>
      <c r="E4" s="5">
        <f>0</f>
        <v>0</v>
      </c>
      <c r="F4" s="40">
        <f t="shared" si="0"/>
        <v>0</v>
      </c>
      <c r="G4" s="5">
        <f>25</f>
        <v>25</v>
      </c>
      <c r="H4" s="5">
        <f>0</f>
        <v>0</v>
      </c>
      <c r="I4" s="5">
        <f>0</f>
        <v>0</v>
      </c>
      <c r="J4" s="40">
        <f t="shared" ref="J4" si="2">G4+H4+I4</f>
        <v>25</v>
      </c>
      <c r="K4" s="5">
        <f>C4-G4+(25)</f>
        <v>0</v>
      </c>
      <c r="L4" s="5">
        <f t="shared" ref="L4" si="3">D4-H4+(0)</f>
        <v>0</v>
      </c>
      <c r="M4" s="5">
        <f>E4-I4+(0)</f>
        <v>0</v>
      </c>
      <c r="N4" s="19">
        <f t="shared" si="1"/>
        <v>0</v>
      </c>
      <c r="O4" s="33">
        <f>O3-C23</f>
        <v>3.5</v>
      </c>
      <c r="P4" s="33">
        <f>P3-D23</f>
        <v>0</v>
      </c>
      <c r="Q4" s="33">
        <f>Q3-E23</f>
        <v>0</v>
      </c>
      <c r="R4" s="33">
        <f>R3-C25</f>
        <v>0</v>
      </c>
      <c r="S4" s="33">
        <f>O4+P4+Q4+R4</f>
        <v>3.5</v>
      </c>
    </row>
    <row r="5" spans="1:24" x14ac:dyDescent="0.25">
      <c r="A5" s="1">
        <v>3</v>
      </c>
      <c r="B5" s="4" t="s">
        <v>7</v>
      </c>
      <c r="C5" s="5">
        <f>0</f>
        <v>0</v>
      </c>
      <c r="D5" s="5">
        <f>0</f>
        <v>0</v>
      </c>
      <c r="E5" s="5">
        <f>0</f>
        <v>0</v>
      </c>
      <c r="F5" s="40">
        <f t="shared" si="0"/>
        <v>0</v>
      </c>
      <c r="G5" s="5">
        <f>0</f>
        <v>0</v>
      </c>
      <c r="H5" s="5">
        <f>0</f>
        <v>0</v>
      </c>
      <c r="I5" s="5">
        <f>0</f>
        <v>0</v>
      </c>
      <c r="J5" s="19">
        <f t="shared" ref="J5:J11" si="4">G5+H5+I5</f>
        <v>0</v>
      </c>
      <c r="K5" s="5">
        <f t="shared" ref="K5:K11" si="5">C5-G5+(0)</f>
        <v>0</v>
      </c>
      <c r="L5" s="5">
        <f>D5-H5+(0)</f>
        <v>0</v>
      </c>
      <c r="M5" s="5">
        <f>E5-I5+(0)</f>
        <v>0</v>
      </c>
      <c r="N5" s="19">
        <f t="shared" si="1"/>
        <v>0</v>
      </c>
      <c r="O5" s="132" t="s">
        <v>9</v>
      </c>
      <c r="P5" s="133"/>
      <c r="Q5" s="133"/>
      <c r="R5" s="133"/>
      <c r="S5" s="134"/>
    </row>
    <row r="6" spans="1:24" x14ac:dyDescent="0.25">
      <c r="A6" s="1">
        <v>4</v>
      </c>
      <c r="B6" s="44" t="s">
        <v>133</v>
      </c>
      <c r="C6" s="5">
        <f>0</f>
        <v>0</v>
      </c>
      <c r="D6" s="5">
        <f>0</f>
        <v>0</v>
      </c>
      <c r="E6" s="5">
        <f>0</f>
        <v>0</v>
      </c>
      <c r="F6" s="40">
        <f t="shared" si="0"/>
        <v>0</v>
      </c>
      <c r="G6" s="5">
        <f>0</f>
        <v>0</v>
      </c>
      <c r="H6" s="5">
        <f>0</f>
        <v>0</v>
      </c>
      <c r="I6" s="5">
        <f>0</f>
        <v>0</v>
      </c>
      <c r="J6" s="19">
        <f t="shared" si="4"/>
        <v>0</v>
      </c>
      <c r="K6" s="5">
        <f t="shared" si="5"/>
        <v>0</v>
      </c>
      <c r="L6" s="5">
        <f>D6-H6+(0)</f>
        <v>0</v>
      </c>
      <c r="M6" s="5">
        <f>E6-I6+(0)</f>
        <v>0</v>
      </c>
      <c r="N6" s="19">
        <f t="shared" si="1"/>
        <v>0</v>
      </c>
      <c r="O6" s="6" t="s">
        <v>36</v>
      </c>
      <c r="P6" s="65" t="s">
        <v>50</v>
      </c>
      <c r="Q6" s="45" t="s">
        <v>5</v>
      </c>
      <c r="R6" s="48" t="s">
        <v>37</v>
      </c>
      <c r="S6" s="2" t="s">
        <v>6</v>
      </c>
    </row>
    <row r="7" spans="1:24" x14ac:dyDescent="0.25">
      <c r="A7" s="1">
        <v>5</v>
      </c>
      <c r="B7" s="4" t="s">
        <v>46</v>
      </c>
      <c r="C7" s="5">
        <f>0</f>
        <v>0</v>
      </c>
      <c r="D7" s="5">
        <f>0</f>
        <v>0</v>
      </c>
      <c r="E7" s="5">
        <f>0</f>
        <v>0</v>
      </c>
      <c r="F7" s="40">
        <f t="shared" si="0"/>
        <v>0</v>
      </c>
      <c r="G7" s="5">
        <f>0</f>
        <v>0</v>
      </c>
      <c r="H7" s="5">
        <f>0</f>
        <v>0</v>
      </c>
      <c r="I7" s="5">
        <f>0</f>
        <v>0</v>
      </c>
      <c r="J7" s="19">
        <f t="shared" si="4"/>
        <v>0</v>
      </c>
      <c r="K7" s="5">
        <f t="shared" si="5"/>
        <v>0</v>
      </c>
      <c r="L7" s="5">
        <f>D7-H7+(0)</f>
        <v>0</v>
      </c>
      <c r="M7" s="5">
        <f>E7-I7+(0)</f>
        <v>0</v>
      </c>
      <c r="N7" s="19">
        <f t="shared" si="1"/>
        <v>0</v>
      </c>
      <c r="O7" s="33">
        <f>14+35+45+42</f>
        <v>136</v>
      </c>
      <c r="P7" s="33">
        <f>0</f>
        <v>0</v>
      </c>
      <c r="Q7" s="33">
        <f>42+42</f>
        <v>84</v>
      </c>
      <c r="R7" s="33">
        <f>0</f>
        <v>0</v>
      </c>
      <c r="S7" s="33">
        <f>O7+P7+Q7+R7</f>
        <v>220</v>
      </c>
    </row>
    <row r="8" spans="1:24" x14ac:dyDescent="0.25">
      <c r="A8" s="1">
        <v>6</v>
      </c>
      <c r="B8" s="24" t="s">
        <v>119</v>
      </c>
      <c r="C8" s="5">
        <f>0</f>
        <v>0</v>
      </c>
      <c r="D8" s="5">
        <f>0</f>
        <v>0</v>
      </c>
      <c r="E8" s="5">
        <f>0</f>
        <v>0</v>
      </c>
      <c r="F8" s="40">
        <f t="shared" si="0"/>
        <v>0</v>
      </c>
      <c r="G8" s="5">
        <f>0</f>
        <v>0</v>
      </c>
      <c r="H8" s="5">
        <f>0</f>
        <v>0</v>
      </c>
      <c r="I8" s="5">
        <f>0</f>
        <v>0</v>
      </c>
      <c r="J8" s="19">
        <f t="shared" si="4"/>
        <v>0</v>
      </c>
      <c r="K8" s="5">
        <f t="shared" si="5"/>
        <v>0</v>
      </c>
      <c r="L8" s="5">
        <f>D8-H8+(5-5)</f>
        <v>0</v>
      </c>
      <c r="M8" s="66">
        <f t="shared" ref="M8:M11" si="6">E8-I8+(0)</f>
        <v>0</v>
      </c>
      <c r="N8" s="19">
        <f t="shared" si="1"/>
        <v>0</v>
      </c>
      <c r="O8" s="33">
        <f>O7-G23</f>
        <v>24.5</v>
      </c>
      <c r="P8" s="33">
        <f>P7-H23</f>
        <v>0</v>
      </c>
      <c r="Q8" s="33">
        <f>Q7-I23</f>
        <v>13</v>
      </c>
      <c r="R8" s="33">
        <f>R7-J25</f>
        <v>0</v>
      </c>
      <c r="S8" s="33">
        <f>O8+P8+Q8+R8</f>
        <v>37.5</v>
      </c>
      <c r="W8" s="82"/>
    </row>
    <row r="9" spans="1:24" x14ac:dyDescent="0.25">
      <c r="A9" s="1">
        <v>7</v>
      </c>
      <c r="B9" s="24" t="s">
        <v>34</v>
      </c>
      <c r="C9" s="5">
        <f>0</f>
        <v>0</v>
      </c>
      <c r="D9" s="5">
        <f>0</f>
        <v>0</v>
      </c>
      <c r="E9" s="5">
        <f>0</f>
        <v>0</v>
      </c>
      <c r="F9" s="40">
        <f t="shared" si="0"/>
        <v>0</v>
      </c>
      <c r="G9" s="5">
        <f>0</f>
        <v>0</v>
      </c>
      <c r="H9" s="5">
        <f>0</f>
        <v>0</v>
      </c>
      <c r="I9" s="5">
        <f>0</f>
        <v>0</v>
      </c>
      <c r="J9" s="19">
        <f t="shared" si="4"/>
        <v>0</v>
      </c>
      <c r="K9" s="5">
        <f t="shared" si="5"/>
        <v>0</v>
      </c>
      <c r="L9" s="5">
        <f t="shared" ref="L9:L11" si="7">D9-H9+(0)</f>
        <v>0</v>
      </c>
      <c r="M9" s="5">
        <f t="shared" si="6"/>
        <v>0</v>
      </c>
      <c r="N9" s="19">
        <f t="shared" si="1"/>
        <v>0</v>
      </c>
      <c r="O9" s="132" t="s">
        <v>35</v>
      </c>
      <c r="P9" s="133"/>
      <c r="Q9" s="133"/>
      <c r="R9" s="133"/>
      <c r="S9" s="134"/>
    </row>
    <row r="10" spans="1:24" x14ac:dyDescent="0.25">
      <c r="A10" s="1">
        <v>8</v>
      </c>
      <c r="B10" s="24" t="s">
        <v>121</v>
      </c>
      <c r="C10" s="5">
        <f>0</f>
        <v>0</v>
      </c>
      <c r="D10" s="5">
        <f>0</f>
        <v>0</v>
      </c>
      <c r="E10" s="5">
        <f>0</f>
        <v>0</v>
      </c>
      <c r="F10" s="40">
        <f t="shared" si="0"/>
        <v>0</v>
      </c>
      <c r="G10" s="5">
        <f>0</f>
        <v>0</v>
      </c>
      <c r="H10" s="5">
        <f>0</f>
        <v>0</v>
      </c>
      <c r="I10" s="5">
        <f>0</f>
        <v>0</v>
      </c>
      <c r="J10" s="19">
        <f t="shared" si="4"/>
        <v>0</v>
      </c>
      <c r="K10" s="5">
        <f t="shared" si="5"/>
        <v>0</v>
      </c>
      <c r="L10" s="5">
        <f t="shared" si="7"/>
        <v>0</v>
      </c>
      <c r="M10" s="5">
        <f t="shared" si="6"/>
        <v>0</v>
      </c>
      <c r="N10" s="19">
        <f t="shared" si="1"/>
        <v>0</v>
      </c>
      <c r="O10" s="6" t="s">
        <v>36</v>
      </c>
      <c r="P10" s="65" t="s">
        <v>50</v>
      </c>
      <c r="Q10" s="45" t="s">
        <v>5</v>
      </c>
      <c r="R10" s="48" t="s">
        <v>37</v>
      </c>
      <c r="S10" s="2" t="s">
        <v>6</v>
      </c>
    </row>
    <row r="11" spans="1:24" x14ac:dyDescent="0.25">
      <c r="A11" s="1">
        <v>9</v>
      </c>
      <c r="B11" s="24" t="s">
        <v>97</v>
      </c>
      <c r="C11" s="5">
        <f>0</f>
        <v>0</v>
      </c>
      <c r="D11" s="5">
        <f>0</f>
        <v>0</v>
      </c>
      <c r="E11" s="5">
        <f>0</f>
        <v>0</v>
      </c>
      <c r="F11" s="40">
        <f t="shared" si="0"/>
        <v>0</v>
      </c>
      <c r="G11" s="5">
        <f>0</f>
        <v>0</v>
      </c>
      <c r="H11" s="5">
        <f>0</f>
        <v>0</v>
      </c>
      <c r="I11" s="5">
        <f>0</f>
        <v>0</v>
      </c>
      <c r="J11" s="19">
        <f t="shared" si="4"/>
        <v>0</v>
      </c>
      <c r="K11" s="5">
        <f t="shared" si="5"/>
        <v>0</v>
      </c>
      <c r="L11" s="5">
        <f t="shared" si="7"/>
        <v>0</v>
      </c>
      <c r="M11" s="5">
        <f t="shared" si="6"/>
        <v>0</v>
      </c>
      <c r="N11" s="19">
        <f t="shared" si="1"/>
        <v>0</v>
      </c>
      <c r="O11" s="33">
        <f t="shared" ref="O11:R12" si="8">O3-O7</f>
        <v>-14</v>
      </c>
      <c r="P11" s="33">
        <f t="shared" si="8"/>
        <v>0</v>
      </c>
      <c r="Q11" s="33">
        <f t="shared" si="8"/>
        <v>0</v>
      </c>
      <c r="R11" s="33">
        <f t="shared" si="8"/>
        <v>0</v>
      </c>
      <c r="S11" s="33">
        <f>O11+P11+Q11+R11</f>
        <v>-14</v>
      </c>
    </row>
    <row r="12" spans="1:24" ht="15.75" x14ac:dyDescent="0.25">
      <c r="A12" s="141" t="s">
        <v>6</v>
      </c>
      <c r="B12" s="141"/>
      <c r="C12" s="7">
        <f t="shared" ref="C12:N12" si="9">SUM(C3:C11)</f>
        <v>0</v>
      </c>
      <c r="D12" s="7">
        <f t="shared" si="9"/>
        <v>0</v>
      </c>
      <c r="E12" s="7">
        <f t="shared" si="9"/>
        <v>0</v>
      </c>
      <c r="F12" s="7">
        <f t="shared" si="9"/>
        <v>0</v>
      </c>
      <c r="G12" s="7">
        <f t="shared" si="9"/>
        <v>28</v>
      </c>
      <c r="H12" s="7">
        <f t="shared" si="9"/>
        <v>0</v>
      </c>
      <c r="I12" s="7">
        <f t="shared" si="9"/>
        <v>0</v>
      </c>
      <c r="J12" s="7">
        <f t="shared" si="9"/>
        <v>28</v>
      </c>
      <c r="K12" s="7">
        <f t="shared" si="9"/>
        <v>0</v>
      </c>
      <c r="L12" s="7">
        <f t="shared" si="9"/>
        <v>0</v>
      </c>
      <c r="M12" s="7">
        <f t="shared" si="9"/>
        <v>1.75</v>
      </c>
      <c r="N12" s="7">
        <f t="shared" si="9"/>
        <v>1.75</v>
      </c>
      <c r="O12" s="33">
        <f t="shared" si="8"/>
        <v>-21</v>
      </c>
      <c r="P12" s="33">
        <f t="shared" si="8"/>
        <v>0</v>
      </c>
      <c r="Q12" s="33">
        <f t="shared" si="8"/>
        <v>-13</v>
      </c>
      <c r="R12" s="33">
        <f t="shared" si="8"/>
        <v>0</v>
      </c>
      <c r="S12" s="33">
        <f>O12+P12+Q12+R12</f>
        <v>-34</v>
      </c>
    </row>
    <row r="13" spans="1:24" x14ac:dyDescent="0.25">
      <c r="A13" s="77"/>
      <c r="C13" s="78"/>
      <c r="D13" s="78"/>
      <c r="E13" s="78"/>
      <c r="F13" s="79"/>
      <c r="G13" s="78"/>
      <c r="H13" s="78"/>
      <c r="I13" s="78"/>
      <c r="J13" s="80"/>
      <c r="K13" s="78"/>
      <c r="L13" s="78"/>
      <c r="M13" s="78"/>
      <c r="N13" s="80"/>
    </row>
    <row r="14" spans="1:24" x14ac:dyDescent="0.25">
      <c r="A14" s="1">
        <v>1</v>
      </c>
      <c r="B14" s="69" t="s">
        <v>79</v>
      </c>
      <c r="C14" s="5">
        <f>0</f>
        <v>0</v>
      </c>
      <c r="D14" s="5">
        <f>0</f>
        <v>0</v>
      </c>
      <c r="E14" s="5">
        <f>0</f>
        <v>0</v>
      </c>
      <c r="F14" s="40">
        <f t="shared" ref="F14" si="10">C14+D14+E14</f>
        <v>0</v>
      </c>
      <c r="G14" s="5">
        <f>0</f>
        <v>0</v>
      </c>
      <c r="H14" s="5">
        <f>0</f>
        <v>0</v>
      </c>
      <c r="I14" s="5">
        <f>0</f>
        <v>0</v>
      </c>
      <c r="J14" s="19">
        <f t="shared" ref="J14" si="11">G14+H14+I14</f>
        <v>0</v>
      </c>
      <c r="K14" s="5">
        <f t="shared" ref="K14" si="12">C14-G14+(0)</f>
        <v>0</v>
      </c>
      <c r="L14" s="5">
        <f>D14-H14+(0)</f>
        <v>0</v>
      </c>
      <c r="M14" s="5">
        <f>E14-I14+(0)</f>
        <v>0</v>
      </c>
      <c r="N14" s="19">
        <f t="shared" ref="N14" si="13">K14+L14+M14</f>
        <v>0</v>
      </c>
    </row>
    <row r="15" spans="1:24" x14ac:dyDescent="0.25">
      <c r="A15" s="48">
        <v>2</v>
      </c>
      <c r="B15" s="4" t="s">
        <v>91</v>
      </c>
      <c r="C15" s="5">
        <f>0</f>
        <v>0</v>
      </c>
      <c r="D15" s="5">
        <f>0</f>
        <v>0</v>
      </c>
      <c r="E15" s="5">
        <f>0</f>
        <v>0</v>
      </c>
      <c r="F15" s="40">
        <f t="shared" ref="F15:F20" si="14">C15+D15+E15</f>
        <v>0</v>
      </c>
      <c r="G15" s="5">
        <f>0</f>
        <v>0</v>
      </c>
      <c r="H15" s="5">
        <f>0</f>
        <v>0</v>
      </c>
      <c r="I15" s="5">
        <f>0</f>
        <v>0</v>
      </c>
      <c r="J15" s="40">
        <f t="shared" ref="J15:J20" si="15">G15+H15+I15</f>
        <v>0</v>
      </c>
      <c r="K15" s="66">
        <f t="shared" ref="K15:L20" si="16">C15-G15+(0)</f>
        <v>0</v>
      </c>
      <c r="L15" s="66">
        <f t="shared" si="16"/>
        <v>0</v>
      </c>
      <c r="M15" s="66">
        <f>E15-I15+(0)</f>
        <v>0</v>
      </c>
      <c r="N15" s="40">
        <f t="shared" ref="N15:N20" si="17">K15+L15+M15</f>
        <v>0</v>
      </c>
    </row>
    <row r="16" spans="1:24" x14ac:dyDescent="0.25">
      <c r="A16" s="48">
        <v>3</v>
      </c>
      <c r="B16" s="4" t="s">
        <v>115</v>
      </c>
      <c r="C16" s="5">
        <f>0</f>
        <v>0</v>
      </c>
      <c r="D16" s="5">
        <f>0</f>
        <v>0</v>
      </c>
      <c r="E16" s="5">
        <f>0</f>
        <v>0</v>
      </c>
      <c r="F16" s="40">
        <f t="shared" si="14"/>
        <v>0</v>
      </c>
      <c r="G16" s="5">
        <f>0</f>
        <v>0</v>
      </c>
      <c r="H16" s="5">
        <f>0</f>
        <v>0</v>
      </c>
      <c r="I16" s="5">
        <f>0</f>
        <v>0</v>
      </c>
      <c r="J16" s="40">
        <f t="shared" si="15"/>
        <v>0</v>
      </c>
      <c r="K16" s="66">
        <f t="shared" si="16"/>
        <v>0</v>
      </c>
      <c r="L16" s="66">
        <f t="shared" si="16"/>
        <v>0</v>
      </c>
      <c r="M16" s="66">
        <f>E16-I16+(0)</f>
        <v>0</v>
      </c>
      <c r="N16" s="40">
        <f t="shared" si="17"/>
        <v>0</v>
      </c>
      <c r="X16" s="85"/>
    </row>
    <row r="17" spans="1:25" x14ac:dyDescent="0.25">
      <c r="A17" s="48">
        <v>4</v>
      </c>
      <c r="B17" s="69" t="s">
        <v>54</v>
      </c>
      <c r="C17" s="5">
        <f>15+32+28+43.5</f>
        <v>118.5</v>
      </c>
      <c r="D17" s="5">
        <f>0</f>
        <v>0</v>
      </c>
      <c r="E17" s="5">
        <f>0</f>
        <v>0</v>
      </c>
      <c r="F17" s="40">
        <f t="shared" si="14"/>
        <v>118.5</v>
      </c>
      <c r="G17" s="5">
        <f>15+10.5+32.5+14+11.5</f>
        <v>83.5</v>
      </c>
      <c r="H17" s="5">
        <f>0</f>
        <v>0</v>
      </c>
      <c r="I17" s="5">
        <f>0</f>
        <v>0</v>
      </c>
      <c r="J17" s="40">
        <f t="shared" si="15"/>
        <v>83.5</v>
      </c>
      <c r="K17" s="66">
        <f>C17-G17+(-14)</f>
        <v>21</v>
      </c>
      <c r="L17" s="66">
        <f>D17-H17+(0)</f>
        <v>0</v>
      </c>
      <c r="M17" s="66">
        <f>E17-I17+(-1.75)</f>
        <v>-1.75</v>
      </c>
      <c r="N17" s="40">
        <f t="shared" si="17"/>
        <v>19.25</v>
      </c>
      <c r="Q17" s="83"/>
      <c r="R17" s="83"/>
      <c r="S17" s="83"/>
      <c r="T17" s="83"/>
      <c r="U17" s="83"/>
      <c r="V17" s="83"/>
      <c r="W17" s="83"/>
      <c r="X17" s="83"/>
      <c r="Y17" s="83"/>
    </row>
    <row r="18" spans="1:25" x14ac:dyDescent="0.25">
      <c r="A18" s="48">
        <v>5</v>
      </c>
      <c r="B18" s="24" t="s">
        <v>53</v>
      </c>
      <c r="C18" s="5">
        <f>0</f>
        <v>0</v>
      </c>
      <c r="D18" s="5">
        <f>0</f>
        <v>0</v>
      </c>
      <c r="E18" s="5">
        <f>42+42</f>
        <v>84</v>
      </c>
      <c r="F18" s="40">
        <f t="shared" si="14"/>
        <v>84</v>
      </c>
      <c r="G18" s="5">
        <f>0</f>
        <v>0</v>
      </c>
      <c r="H18" s="5">
        <f>0</f>
        <v>0</v>
      </c>
      <c r="I18" s="5">
        <f>30+12+29</f>
        <v>71</v>
      </c>
      <c r="J18" s="40">
        <f t="shared" si="15"/>
        <v>71</v>
      </c>
      <c r="K18" s="66">
        <f t="shared" si="16"/>
        <v>0</v>
      </c>
      <c r="L18" s="66">
        <f>D18-H18+(0)</f>
        <v>0</v>
      </c>
      <c r="M18" s="66">
        <f>E18-I18+(0)</f>
        <v>13</v>
      </c>
      <c r="N18" s="40">
        <f t="shared" si="17"/>
        <v>13</v>
      </c>
    </row>
    <row r="19" spans="1:25" x14ac:dyDescent="0.25">
      <c r="A19" s="48">
        <v>6</v>
      </c>
      <c r="B19" s="4" t="s">
        <v>125</v>
      </c>
      <c r="C19" s="5">
        <f>0</f>
        <v>0</v>
      </c>
      <c r="D19" s="5">
        <f>0</f>
        <v>0</v>
      </c>
      <c r="E19" s="5">
        <f>0</f>
        <v>0</v>
      </c>
      <c r="F19" s="40">
        <f t="shared" si="14"/>
        <v>0</v>
      </c>
      <c r="G19" s="5">
        <f>0</f>
        <v>0</v>
      </c>
      <c r="H19" s="5">
        <f>0</f>
        <v>0</v>
      </c>
      <c r="I19" s="5">
        <f>0</f>
        <v>0</v>
      </c>
      <c r="J19" s="40">
        <f t="shared" si="15"/>
        <v>0</v>
      </c>
      <c r="K19" s="66">
        <f t="shared" si="16"/>
        <v>0</v>
      </c>
      <c r="L19" s="66">
        <f>D19-H19+(0)</f>
        <v>0</v>
      </c>
      <c r="M19" s="66">
        <f>E19-I19+(0)</f>
        <v>0</v>
      </c>
      <c r="N19" s="40">
        <f t="shared" si="17"/>
        <v>0</v>
      </c>
      <c r="Q19" s="83"/>
      <c r="R19" s="83"/>
      <c r="S19" s="83"/>
      <c r="T19" s="83"/>
      <c r="U19" s="83"/>
      <c r="V19" s="83"/>
      <c r="W19" s="83"/>
      <c r="X19" s="83"/>
      <c r="Y19" s="83"/>
    </row>
    <row r="20" spans="1:25" x14ac:dyDescent="0.25">
      <c r="A20" s="48">
        <v>7</v>
      </c>
      <c r="B20" s="4" t="s">
        <v>64</v>
      </c>
      <c r="C20" s="5">
        <f>0</f>
        <v>0</v>
      </c>
      <c r="D20" s="5">
        <f>0</f>
        <v>0</v>
      </c>
      <c r="E20" s="5">
        <f>0</f>
        <v>0</v>
      </c>
      <c r="F20" s="40">
        <f t="shared" si="14"/>
        <v>0</v>
      </c>
      <c r="G20" s="5">
        <f>0</f>
        <v>0</v>
      </c>
      <c r="H20" s="5">
        <f>0</f>
        <v>0</v>
      </c>
      <c r="I20" s="5">
        <f>0</f>
        <v>0</v>
      </c>
      <c r="J20" s="40">
        <f t="shared" si="15"/>
        <v>0</v>
      </c>
      <c r="K20" s="66">
        <f t="shared" si="16"/>
        <v>0</v>
      </c>
      <c r="L20" s="66">
        <f t="shared" si="16"/>
        <v>0</v>
      </c>
      <c r="M20" s="66">
        <f>E20-I20+(0)</f>
        <v>0</v>
      </c>
      <c r="N20" s="40">
        <f t="shared" si="17"/>
        <v>0</v>
      </c>
    </row>
    <row r="21" spans="1:25" ht="15.75" x14ac:dyDescent="0.25">
      <c r="A21" s="127" t="s">
        <v>6</v>
      </c>
      <c r="B21" s="128"/>
      <c r="C21" s="7">
        <f t="shared" ref="C21:N21" si="18">SUM(C14:C20)</f>
        <v>118.5</v>
      </c>
      <c r="D21" s="7">
        <f t="shared" si="18"/>
        <v>0</v>
      </c>
      <c r="E21" s="7">
        <f t="shared" si="18"/>
        <v>84</v>
      </c>
      <c r="F21" s="7">
        <f t="shared" si="18"/>
        <v>202.5</v>
      </c>
      <c r="G21" s="7">
        <f t="shared" si="18"/>
        <v>83.5</v>
      </c>
      <c r="H21" s="7">
        <f t="shared" si="18"/>
        <v>0</v>
      </c>
      <c r="I21" s="7">
        <f t="shared" si="18"/>
        <v>71</v>
      </c>
      <c r="J21" s="7">
        <f t="shared" si="18"/>
        <v>154.5</v>
      </c>
      <c r="K21" s="7">
        <f t="shared" si="18"/>
        <v>21</v>
      </c>
      <c r="L21" s="7">
        <f t="shared" si="18"/>
        <v>0</v>
      </c>
      <c r="M21" s="7">
        <f t="shared" si="18"/>
        <v>11.25</v>
      </c>
      <c r="N21" s="7">
        <f t="shared" si="18"/>
        <v>32.25</v>
      </c>
    </row>
    <row r="22" spans="1:25" ht="15.75" x14ac:dyDescent="0.25">
      <c r="A22" s="74"/>
      <c r="B22" s="74"/>
      <c r="C22" s="75"/>
      <c r="D22" s="75"/>
      <c r="E22" s="75"/>
      <c r="F22" s="76"/>
      <c r="G22" s="75"/>
      <c r="H22" s="75"/>
      <c r="I22" s="75"/>
      <c r="J22" s="76"/>
      <c r="K22" s="75"/>
      <c r="L22" s="75"/>
      <c r="M22" s="75"/>
      <c r="N22" s="75"/>
    </row>
    <row r="23" spans="1:25" ht="15.75" x14ac:dyDescent="0.25">
      <c r="A23" s="125" t="s">
        <v>89</v>
      </c>
      <c r="B23" s="126"/>
      <c r="C23" s="7">
        <f t="shared" ref="C23:N23" si="19">C21+C12</f>
        <v>118.5</v>
      </c>
      <c r="D23" s="7">
        <f t="shared" si="19"/>
        <v>0</v>
      </c>
      <c r="E23" s="7">
        <f t="shared" si="19"/>
        <v>84</v>
      </c>
      <c r="F23" s="7">
        <f t="shared" si="19"/>
        <v>202.5</v>
      </c>
      <c r="G23" s="7">
        <f t="shared" si="19"/>
        <v>111.5</v>
      </c>
      <c r="H23" s="7">
        <f t="shared" si="19"/>
        <v>0</v>
      </c>
      <c r="I23" s="7">
        <f t="shared" si="19"/>
        <v>71</v>
      </c>
      <c r="J23" s="7">
        <f t="shared" si="19"/>
        <v>182.5</v>
      </c>
      <c r="K23" s="7">
        <f t="shared" si="19"/>
        <v>21</v>
      </c>
      <c r="L23" s="7">
        <f t="shared" si="19"/>
        <v>0</v>
      </c>
      <c r="M23" s="7">
        <f t="shared" si="19"/>
        <v>13</v>
      </c>
      <c r="N23" s="7">
        <f t="shared" si="19"/>
        <v>34</v>
      </c>
    </row>
    <row r="24" spans="1:25" x14ac:dyDescent="0.25">
      <c r="J24" s="39"/>
    </row>
    <row r="25" spans="1:25" ht="15.75" x14ac:dyDescent="0.25">
      <c r="A25" s="52">
        <v>1</v>
      </c>
      <c r="B25" s="52" t="s">
        <v>37</v>
      </c>
      <c r="C25" s="53">
        <f>0</f>
        <v>0</v>
      </c>
      <c r="D25" s="53"/>
      <c r="E25" s="53"/>
      <c r="F25" s="54">
        <f>C25+E25</f>
        <v>0</v>
      </c>
      <c r="G25" s="53">
        <f>0</f>
        <v>0</v>
      </c>
      <c r="H25" s="53"/>
      <c r="I25" s="53">
        <f>0</f>
        <v>0</v>
      </c>
      <c r="J25" s="55">
        <f>G25+I25</f>
        <v>0</v>
      </c>
      <c r="K25" s="5">
        <f>0</f>
        <v>0</v>
      </c>
      <c r="L25" s="5"/>
      <c r="M25" s="53"/>
      <c r="N25" s="55">
        <f>K25+M25</f>
        <v>0</v>
      </c>
    </row>
    <row r="29" spans="1:25" ht="15.75" x14ac:dyDescent="0.25">
      <c r="D29" s="41"/>
    </row>
  </sheetData>
  <mergeCells count="9">
    <mergeCell ref="A23:B23"/>
    <mergeCell ref="A21:B21"/>
    <mergeCell ref="K1:N1"/>
    <mergeCell ref="O1:S1"/>
    <mergeCell ref="O5:S5"/>
    <mergeCell ref="O9:S9"/>
    <mergeCell ref="C1:F1"/>
    <mergeCell ref="G1:J1"/>
    <mergeCell ref="A12:B12"/>
  </mergeCells>
  <pageMargins left="0.7" right="0.7" top="0.75" bottom="0.75" header="0.3" footer="0.3"/>
  <pageSetup paperSize="9" scale="70" orientation="landscape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000"/>
  <sheetViews>
    <sheetView topLeftCell="A730" workbookViewId="0">
      <selection activeCell="A748" sqref="A748"/>
    </sheetView>
  </sheetViews>
  <sheetFormatPr defaultRowHeight="15" x14ac:dyDescent="0.25"/>
  <cols>
    <col min="1" max="1" width="8.42578125" bestFit="1" customWidth="1"/>
    <col min="2" max="2" width="49" bestFit="1" customWidth="1"/>
    <col min="3" max="3" width="11.5703125" customWidth="1"/>
    <col min="4" max="4" width="13.85546875" customWidth="1"/>
    <col min="5" max="5" width="15.42578125" customWidth="1"/>
    <col min="7" max="7" width="13.28515625" customWidth="1"/>
    <col min="10" max="10" width="31.140625" bestFit="1" customWidth="1"/>
  </cols>
  <sheetData>
    <row r="1" spans="1:5" x14ac:dyDescent="0.25">
      <c r="A1" s="142" t="s">
        <v>15</v>
      </c>
      <c r="B1" s="142" t="s">
        <v>25</v>
      </c>
      <c r="C1" s="144" t="s">
        <v>38</v>
      </c>
      <c r="D1" s="146" t="s">
        <v>26</v>
      </c>
      <c r="E1" s="146"/>
    </row>
    <row r="2" spans="1:5" x14ac:dyDescent="0.25">
      <c r="A2" s="143"/>
      <c r="B2" s="143"/>
      <c r="C2" s="145"/>
      <c r="D2" s="1" t="s">
        <v>27</v>
      </c>
      <c r="E2" s="1" t="s">
        <v>28</v>
      </c>
    </row>
    <row r="3" spans="1:5" x14ac:dyDescent="0.25">
      <c r="A3" s="29"/>
      <c r="B3" s="27"/>
      <c r="C3" s="17"/>
      <c r="D3" s="17"/>
      <c r="E3" s="28">
        <f>6000</f>
        <v>6000</v>
      </c>
    </row>
    <row r="4" spans="1:5" x14ac:dyDescent="0.25">
      <c r="A4" s="37"/>
      <c r="B4" s="31"/>
      <c r="C4" s="32">
        <v>0</v>
      </c>
      <c r="D4" s="32"/>
      <c r="E4" s="28">
        <f>6000</f>
        <v>6000</v>
      </c>
    </row>
    <row r="5" spans="1:5" x14ac:dyDescent="0.25">
      <c r="A5" s="29">
        <v>45133</v>
      </c>
      <c r="B5" s="27" t="s">
        <v>55</v>
      </c>
      <c r="C5" s="17">
        <f>1500</f>
        <v>1500</v>
      </c>
      <c r="D5" s="17"/>
      <c r="E5" s="28">
        <f>E4+D5-C5</f>
        <v>4500</v>
      </c>
    </row>
    <row r="6" spans="1:5" x14ac:dyDescent="0.25">
      <c r="A6" s="29">
        <v>45133</v>
      </c>
      <c r="B6" s="27" t="s">
        <v>56</v>
      </c>
      <c r="C6" s="17">
        <v>890</v>
      </c>
      <c r="D6" s="17"/>
      <c r="E6" s="28">
        <f t="shared" ref="E6:E69" si="0">E5+D6-C6</f>
        <v>3610</v>
      </c>
    </row>
    <row r="7" spans="1:5" x14ac:dyDescent="0.25">
      <c r="A7" s="29">
        <v>45134</v>
      </c>
      <c r="B7" s="27" t="s">
        <v>57</v>
      </c>
      <c r="C7" s="17">
        <f>640*2.5</f>
        <v>1600</v>
      </c>
      <c r="D7" s="17"/>
      <c r="E7" s="28">
        <f t="shared" si="0"/>
        <v>2010</v>
      </c>
    </row>
    <row r="8" spans="1:5" x14ac:dyDescent="0.25">
      <c r="A8" s="29">
        <v>45135</v>
      </c>
      <c r="B8" s="27" t="s">
        <v>58</v>
      </c>
      <c r="C8" s="17"/>
      <c r="D8" s="17">
        <f>20000</f>
        <v>20000</v>
      </c>
      <c r="E8" s="28">
        <f t="shared" si="0"/>
        <v>22010</v>
      </c>
    </row>
    <row r="9" spans="1:5" x14ac:dyDescent="0.25">
      <c r="A9" s="29">
        <v>45135</v>
      </c>
      <c r="B9" s="27" t="s">
        <v>32</v>
      </c>
      <c r="C9" s="17">
        <f>700</f>
        <v>700</v>
      </c>
      <c r="D9" s="17"/>
      <c r="E9" s="28">
        <f t="shared" si="0"/>
        <v>21310</v>
      </c>
    </row>
    <row r="10" spans="1:5" x14ac:dyDescent="0.25">
      <c r="A10" s="29">
        <v>45135</v>
      </c>
      <c r="B10" s="27" t="s">
        <v>59</v>
      </c>
      <c r="C10" s="17">
        <f>50*2.5</f>
        <v>125</v>
      </c>
      <c r="D10" s="17"/>
      <c r="E10" s="28">
        <f t="shared" si="0"/>
        <v>21185</v>
      </c>
    </row>
    <row r="11" spans="1:5" x14ac:dyDescent="0.25">
      <c r="A11" s="29">
        <v>45138</v>
      </c>
      <c r="B11" s="27" t="s">
        <v>60</v>
      </c>
      <c r="C11" s="17">
        <f>100*2.5</f>
        <v>250</v>
      </c>
      <c r="D11" s="17"/>
      <c r="E11" s="28">
        <f t="shared" si="0"/>
        <v>20935</v>
      </c>
    </row>
    <row r="12" spans="1:5" x14ac:dyDescent="0.25">
      <c r="A12" s="29"/>
      <c r="B12" s="27"/>
      <c r="C12" s="17"/>
      <c r="D12" s="17"/>
      <c r="E12" s="28">
        <f t="shared" si="0"/>
        <v>20935</v>
      </c>
    </row>
    <row r="13" spans="1:5" x14ac:dyDescent="0.25">
      <c r="A13" s="29">
        <v>45139</v>
      </c>
      <c r="B13" s="27" t="s">
        <v>61</v>
      </c>
      <c r="C13" s="17">
        <f>150*2.5</f>
        <v>375</v>
      </c>
      <c r="D13" s="17"/>
      <c r="E13" s="28">
        <f t="shared" si="0"/>
        <v>20560</v>
      </c>
    </row>
    <row r="14" spans="1:5" x14ac:dyDescent="0.25">
      <c r="A14" s="29">
        <v>45141</v>
      </c>
      <c r="B14" s="27" t="s">
        <v>61</v>
      </c>
      <c r="C14" s="17">
        <f>150*2.5</f>
        <v>375</v>
      </c>
      <c r="D14" s="17"/>
      <c r="E14" s="28">
        <f t="shared" si="0"/>
        <v>20185</v>
      </c>
    </row>
    <row r="15" spans="1:5" x14ac:dyDescent="0.25">
      <c r="A15" s="29">
        <v>45143</v>
      </c>
      <c r="B15" s="27" t="s">
        <v>62</v>
      </c>
      <c r="C15" s="17">
        <f>140*2.5</f>
        <v>350</v>
      </c>
      <c r="D15" s="17"/>
      <c r="E15" s="28">
        <f t="shared" si="0"/>
        <v>19835</v>
      </c>
    </row>
    <row r="16" spans="1:5" x14ac:dyDescent="0.25">
      <c r="A16" s="29">
        <v>45144</v>
      </c>
      <c r="B16" s="27" t="s">
        <v>63</v>
      </c>
      <c r="C16" s="17">
        <f>228*2.5</f>
        <v>570</v>
      </c>
      <c r="D16" s="17"/>
      <c r="E16" s="28">
        <f t="shared" si="0"/>
        <v>19265</v>
      </c>
    </row>
    <row r="17" spans="1:5" x14ac:dyDescent="0.25">
      <c r="A17" s="29">
        <v>45146</v>
      </c>
      <c r="B17" s="27" t="s">
        <v>47</v>
      </c>
      <c r="C17" s="17">
        <f>690</f>
        <v>690</v>
      </c>
      <c r="D17" s="17"/>
      <c r="E17" s="28">
        <f t="shared" si="0"/>
        <v>18575</v>
      </c>
    </row>
    <row r="18" spans="1:5" x14ac:dyDescent="0.25">
      <c r="A18" s="29">
        <v>45147</v>
      </c>
      <c r="B18" s="27" t="s">
        <v>65</v>
      </c>
      <c r="C18" s="17">
        <f>480*2.5</f>
        <v>1200</v>
      </c>
      <c r="D18" s="17"/>
      <c r="E18" s="28">
        <f t="shared" si="0"/>
        <v>17375</v>
      </c>
    </row>
    <row r="19" spans="1:5" x14ac:dyDescent="0.25">
      <c r="A19" s="29">
        <v>45148</v>
      </c>
      <c r="B19" s="27" t="s">
        <v>66</v>
      </c>
      <c r="C19" s="17">
        <f>80*2.5</f>
        <v>200</v>
      </c>
      <c r="D19" s="17"/>
      <c r="E19" s="28">
        <f t="shared" si="0"/>
        <v>17175</v>
      </c>
    </row>
    <row r="20" spans="1:5" x14ac:dyDescent="0.25">
      <c r="A20" s="29">
        <v>45148</v>
      </c>
      <c r="B20" s="27" t="s">
        <v>32</v>
      </c>
      <c r="C20" s="17">
        <f>700</f>
        <v>700</v>
      </c>
      <c r="D20" s="17"/>
      <c r="E20" s="28">
        <f t="shared" si="0"/>
        <v>16475</v>
      </c>
    </row>
    <row r="21" spans="1:5" x14ac:dyDescent="0.25">
      <c r="A21" s="29">
        <v>45152</v>
      </c>
      <c r="B21" s="27" t="s">
        <v>67</v>
      </c>
      <c r="C21" s="17">
        <f>120*2.5</f>
        <v>300</v>
      </c>
      <c r="D21" s="17"/>
      <c r="E21" s="28">
        <f t="shared" si="0"/>
        <v>16175</v>
      </c>
    </row>
    <row r="22" spans="1:5" x14ac:dyDescent="0.25">
      <c r="A22" s="29">
        <v>45154</v>
      </c>
      <c r="B22" s="27" t="s">
        <v>60</v>
      </c>
      <c r="C22" s="17">
        <f>100*2.5</f>
        <v>250</v>
      </c>
      <c r="D22" s="17"/>
      <c r="E22" s="28">
        <f t="shared" si="0"/>
        <v>15925</v>
      </c>
    </row>
    <row r="23" spans="1:5" x14ac:dyDescent="0.25">
      <c r="A23" s="29">
        <v>45155</v>
      </c>
      <c r="B23" s="27" t="s">
        <v>68</v>
      </c>
      <c r="C23" s="17">
        <f>180*2.5</f>
        <v>450</v>
      </c>
      <c r="D23" s="17"/>
      <c r="E23" s="28">
        <f t="shared" si="0"/>
        <v>15475</v>
      </c>
    </row>
    <row r="24" spans="1:5" x14ac:dyDescent="0.25">
      <c r="A24" s="29">
        <v>45159</v>
      </c>
      <c r="B24" s="63" t="s">
        <v>69</v>
      </c>
      <c r="C24" s="17">
        <f>680*2.5</f>
        <v>1700</v>
      </c>
      <c r="D24" s="17"/>
      <c r="E24" s="28">
        <f t="shared" si="0"/>
        <v>13775</v>
      </c>
    </row>
    <row r="25" spans="1:5" x14ac:dyDescent="0.25">
      <c r="A25" s="29">
        <v>45160</v>
      </c>
      <c r="B25" s="63" t="s">
        <v>70</v>
      </c>
      <c r="C25" s="17">
        <f>340*2.5</f>
        <v>850</v>
      </c>
      <c r="D25" s="17"/>
      <c r="E25" s="28">
        <f t="shared" si="0"/>
        <v>12925</v>
      </c>
    </row>
    <row r="26" spans="1:5" x14ac:dyDescent="0.25">
      <c r="A26" s="29">
        <v>45162</v>
      </c>
      <c r="B26" s="27" t="s">
        <v>32</v>
      </c>
      <c r="C26" s="17">
        <f>700</f>
        <v>700</v>
      </c>
      <c r="D26" s="17"/>
      <c r="E26" s="28">
        <f t="shared" si="0"/>
        <v>12225</v>
      </c>
    </row>
    <row r="27" spans="1:5" x14ac:dyDescent="0.25">
      <c r="A27" s="29">
        <v>45163</v>
      </c>
      <c r="B27" s="27" t="s">
        <v>52</v>
      </c>
      <c r="C27" s="17">
        <v>752</v>
      </c>
      <c r="D27" s="17"/>
      <c r="E27" s="28">
        <f t="shared" si="0"/>
        <v>11473</v>
      </c>
    </row>
    <row r="28" spans="1:5" x14ac:dyDescent="0.25">
      <c r="A28" s="29">
        <v>45164</v>
      </c>
      <c r="B28" s="27" t="s">
        <v>71</v>
      </c>
      <c r="C28" s="17">
        <f>110*2.5</f>
        <v>275</v>
      </c>
      <c r="D28" s="17"/>
      <c r="E28" s="28">
        <f t="shared" si="0"/>
        <v>11198</v>
      </c>
    </row>
    <row r="29" spans="1:5" x14ac:dyDescent="0.25">
      <c r="A29" s="29">
        <v>45164</v>
      </c>
      <c r="B29" s="27" t="s">
        <v>72</v>
      </c>
      <c r="C29" s="17">
        <f>840*2.5</f>
        <v>2100</v>
      </c>
      <c r="D29" s="17"/>
      <c r="E29" s="28">
        <f t="shared" si="0"/>
        <v>9098</v>
      </c>
    </row>
    <row r="30" spans="1:5" x14ac:dyDescent="0.25">
      <c r="A30" s="29">
        <v>45165</v>
      </c>
      <c r="B30" s="27" t="s">
        <v>73</v>
      </c>
      <c r="C30" s="17">
        <f>70*2.5</f>
        <v>175</v>
      </c>
      <c r="D30" s="17"/>
      <c r="E30" s="28">
        <f t="shared" si="0"/>
        <v>8923</v>
      </c>
    </row>
    <row r="31" spans="1:5" x14ac:dyDescent="0.25">
      <c r="A31" s="29">
        <v>45166</v>
      </c>
      <c r="B31" s="27" t="s">
        <v>74</v>
      </c>
      <c r="C31" s="17">
        <f>200*2.5</f>
        <v>500</v>
      </c>
      <c r="D31" s="17"/>
      <c r="E31" s="28">
        <f t="shared" si="0"/>
        <v>8423</v>
      </c>
    </row>
    <row r="32" spans="1:5" x14ac:dyDescent="0.25">
      <c r="A32" s="29">
        <v>45167</v>
      </c>
      <c r="B32" s="27" t="s">
        <v>75</v>
      </c>
      <c r="C32" s="17">
        <f>130*2.5</f>
        <v>325</v>
      </c>
      <c r="D32" s="17"/>
      <c r="E32" s="28">
        <f t="shared" si="0"/>
        <v>8098</v>
      </c>
    </row>
    <row r="33" spans="1:5" x14ac:dyDescent="0.25">
      <c r="A33" s="29"/>
      <c r="B33" s="27"/>
      <c r="C33" s="17"/>
      <c r="D33" s="17"/>
      <c r="E33" s="28">
        <f t="shared" si="0"/>
        <v>8098</v>
      </c>
    </row>
    <row r="34" spans="1:5" x14ac:dyDescent="0.25">
      <c r="A34" s="29">
        <v>45170</v>
      </c>
      <c r="B34" s="27" t="s">
        <v>60</v>
      </c>
      <c r="C34" s="17">
        <f>100*2.5</f>
        <v>250</v>
      </c>
      <c r="D34" s="17"/>
      <c r="E34" s="28">
        <f t="shared" si="0"/>
        <v>7848</v>
      </c>
    </row>
    <row r="35" spans="1:5" x14ac:dyDescent="0.25">
      <c r="A35" s="29">
        <v>45171</v>
      </c>
      <c r="B35" s="27" t="s">
        <v>76</v>
      </c>
      <c r="C35" s="17">
        <f>400</f>
        <v>400</v>
      </c>
      <c r="D35" s="17"/>
      <c r="E35" s="28">
        <f t="shared" si="0"/>
        <v>7448</v>
      </c>
    </row>
    <row r="36" spans="1:5" x14ac:dyDescent="0.25">
      <c r="A36" s="29">
        <v>45172</v>
      </c>
      <c r="B36" s="27" t="s">
        <v>74</v>
      </c>
      <c r="C36" s="17">
        <f>200*2.5</f>
        <v>500</v>
      </c>
      <c r="D36" s="17"/>
      <c r="E36" s="28">
        <f t="shared" si="0"/>
        <v>6948</v>
      </c>
    </row>
    <row r="37" spans="1:5" x14ac:dyDescent="0.25">
      <c r="A37" s="29">
        <v>45172</v>
      </c>
      <c r="B37" s="27" t="s">
        <v>77</v>
      </c>
      <c r="C37" s="17">
        <f>800</f>
        <v>800</v>
      </c>
      <c r="D37" s="17"/>
      <c r="E37" s="28">
        <f t="shared" si="0"/>
        <v>6148</v>
      </c>
    </row>
    <row r="38" spans="1:5" x14ac:dyDescent="0.25">
      <c r="A38" s="29">
        <v>45176</v>
      </c>
      <c r="B38" s="27" t="s">
        <v>32</v>
      </c>
      <c r="C38" s="17">
        <f>700</f>
        <v>700</v>
      </c>
      <c r="D38" s="17"/>
      <c r="E38" s="28">
        <f t="shared" si="0"/>
        <v>5448</v>
      </c>
    </row>
    <row r="39" spans="1:5" x14ac:dyDescent="0.25">
      <c r="A39" s="29">
        <v>45176</v>
      </c>
      <c r="B39" s="27" t="s">
        <v>78</v>
      </c>
      <c r="C39" s="17">
        <f>190*2.5</f>
        <v>475</v>
      </c>
      <c r="D39" s="17"/>
      <c r="E39" s="28">
        <f t="shared" si="0"/>
        <v>4973</v>
      </c>
    </row>
    <row r="40" spans="1:5" x14ac:dyDescent="0.25">
      <c r="A40" s="29">
        <v>45176</v>
      </c>
      <c r="B40" s="27" t="s">
        <v>51</v>
      </c>
      <c r="C40" s="17">
        <f>500*2.5</f>
        <v>1250</v>
      </c>
      <c r="D40" s="17"/>
      <c r="E40" s="28">
        <f t="shared" si="0"/>
        <v>3723</v>
      </c>
    </row>
    <row r="41" spans="1:5" x14ac:dyDescent="0.25">
      <c r="A41" s="29">
        <v>45178</v>
      </c>
      <c r="B41" s="27" t="s">
        <v>51</v>
      </c>
      <c r="C41" s="17">
        <f>520*2.5</f>
        <v>1300</v>
      </c>
      <c r="D41" s="17"/>
      <c r="E41" s="28">
        <f t="shared" si="0"/>
        <v>2423</v>
      </c>
    </row>
    <row r="42" spans="1:5" x14ac:dyDescent="0.25">
      <c r="A42" s="29">
        <v>45178</v>
      </c>
      <c r="B42" s="27" t="s">
        <v>80</v>
      </c>
      <c r="C42" s="17">
        <f>125*2.5</f>
        <v>312.5</v>
      </c>
      <c r="D42" s="17"/>
      <c r="E42" s="28">
        <f t="shared" si="0"/>
        <v>2110.5</v>
      </c>
    </row>
    <row r="43" spans="1:5" x14ac:dyDescent="0.25">
      <c r="A43" s="29">
        <v>45179</v>
      </c>
      <c r="B43" s="27" t="s">
        <v>81</v>
      </c>
      <c r="C43" s="17">
        <f>350*2.5</f>
        <v>875</v>
      </c>
      <c r="D43" s="17"/>
      <c r="E43" s="28">
        <f t="shared" si="0"/>
        <v>1235.5</v>
      </c>
    </row>
    <row r="44" spans="1:5" x14ac:dyDescent="0.25">
      <c r="A44" s="29">
        <v>45183</v>
      </c>
      <c r="B44" s="27" t="s">
        <v>82</v>
      </c>
      <c r="C44" s="17">
        <f>275*2.5</f>
        <v>687.5</v>
      </c>
      <c r="D44" s="17"/>
      <c r="E44" s="28">
        <f t="shared" si="0"/>
        <v>548</v>
      </c>
    </row>
    <row r="45" spans="1:5" x14ac:dyDescent="0.25">
      <c r="A45" s="29">
        <v>45187</v>
      </c>
      <c r="B45" s="27" t="s">
        <v>83</v>
      </c>
      <c r="C45" s="17">
        <f>50*2.5</f>
        <v>125</v>
      </c>
      <c r="D45" s="17"/>
      <c r="E45" s="28">
        <f t="shared" si="0"/>
        <v>423</v>
      </c>
    </row>
    <row r="46" spans="1:5" x14ac:dyDescent="0.25">
      <c r="A46" s="29">
        <v>45190</v>
      </c>
      <c r="B46" s="27" t="s">
        <v>60</v>
      </c>
      <c r="C46" s="17">
        <f>100*2.5</f>
        <v>250</v>
      </c>
      <c r="D46" s="17"/>
      <c r="E46" s="28">
        <f t="shared" si="0"/>
        <v>173</v>
      </c>
    </row>
    <row r="47" spans="1:5" x14ac:dyDescent="0.25">
      <c r="A47" s="29">
        <v>45191</v>
      </c>
      <c r="B47" s="27" t="s">
        <v>84</v>
      </c>
      <c r="C47" s="17">
        <f>150*2.5</f>
        <v>375</v>
      </c>
      <c r="D47" s="17"/>
      <c r="E47" s="28">
        <f t="shared" si="0"/>
        <v>-202</v>
      </c>
    </row>
    <row r="48" spans="1:5" x14ac:dyDescent="0.25">
      <c r="A48" s="29">
        <v>45193</v>
      </c>
      <c r="B48" s="27" t="s">
        <v>85</v>
      </c>
      <c r="C48" s="17">
        <f>70*2.5</f>
        <v>175</v>
      </c>
      <c r="D48" s="17"/>
      <c r="E48" s="28">
        <f t="shared" si="0"/>
        <v>-377</v>
      </c>
    </row>
    <row r="49" spans="1:5" x14ac:dyDescent="0.25">
      <c r="A49" s="29">
        <v>45193</v>
      </c>
      <c r="B49" s="27" t="s">
        <v>32</v>
      </c>
      <c r="C49" s="17">
        <f>800</f>
        <v>800</v>
      </c>
      <c r="D49" s="17"/>
      <c r="E49" s="28">
        <f t="shared" si="0"/>
        <v>-1177</v>
      </c>
    </row>
    <row r="50" spans="1:5" x14ac:dyDescent="0.25">
      <c r="A50" s="29">
        <v>45194</v>
      </c>
      <c r="B50" s="29" t="s">
        <v>49</v>
      </c>
      <c r="C50" s="17"/>
      <c r="D50" s="17">
        <f>10000</f>
        <v>10000</v>
      </c>
      <c r="E50" s="28">
        <f t="shared" si="0"/>
        <v>8823</v>
      </c>
    </row>
    <row r="51" spans="1:5" x14ac:dyDescent="0.25">
      <c r="A51" s="29">
        <v>45194</v>
      </c>
      <c r="B51" s="27" t="s">
        <v>86</v>
      </c>
      <c r="C51" s="17">
        <f>325*2.5</f>
        <v>812.5</v>
      </c>
      <c r="D51" s="17"/>
      <c r="E51" s="28">
        <f t="shared" si="0"/>
        <v>8010.5</v>
      </c>
    </row>
    <row r="52" spans="1:5" x14ac:dyDescent="0.25">
      <c r="A52" s="29">
        <v>45195</v>
      </c>
      <c r="B52" s="27" t="s">
        <v>87</v>
      </c>
      <c r="C52" s="17">
        <f>400*2.5</f>
        <v>1000</v>
      </c>
      <c r="D52" s="17"/>
      <c r="E52" s="28">
        <f t="shared" si="0"/>
        <v>7010.5</v>
      </c>
    </row>
    <row r="53" spans="1:5" x14ac:dyDescent="0.25">
      <c r="A53" s="29">
        <v>45195</v>
      </c>
      <c r="B53" s="27" t="s">
        <v>88</v>
      </c>
      <c r="C53" s="17">
        <f>300*2.5</f>
        <v>750</v>
      </c>
      <c r="D53" s="17"/>
      <c r="E53" s="28">
        <f t="shared" si="0"/>
        <v>6260.5</v>
      </c>
    </row>
    <row r="54" spans="1:5" x14ac:dyDescent="0.25">
      <c r="A54" s="29"/>
      <c r="B54" s="27"/>
      <c r="C54" s="17"/>
      <c r="D54" s="17"/>
      <c r="E54" s="28">
        <f t="shared" si="0"/>
        <v>6260.5</v>
      </c>
    </row>
    <row r="55" spans="1:5" x14ac:dyDescent="0.25">
      <c r="A55" s="29">
        <v>45200</v>
      </c>
      <c r="B55" s="27" t="s">
        <v>90</v>
      </c>
      <c r="C55" s="17">
        <f>500*2.5</f>
        <v>1250</v>
      </c>
      <c r="D55" s="17"/>
      <c r="E55" s="28">
        <f t="shared" si="0"/>
        <v>5010.5</v>
      </c>
    </row>
    <row r="56" spans="1:5" x14ac:dyDescent="0.25">
      <c r="A56" s="29">
        <v>45201</v>
      </c>
      <c r="B56" s="27" t="s">
        <v>90</v>
      </c>
      <c r="C56" s="17">
        <f>500*2.5</f>
        <v>1250</v>
      </c>
      <c r="D56" s="17"/>
      <c r="E56" s="28">
        <f t="shared" si="0"/>
        <v>3760.5</v>
      </c>
    </row>
    <row r="57" spans="1:5" x14ac:dyDescent="0.25">
      <c r="A57" s="29">
        <v>45202</v>
      </c>
      <c r="B57" s="27" t="s">
        <v>92</v>
      </c>
      <c r="C57" s="17">
        <f>840*2.5</f>
        <v>2100</v>
      </c>
      <c r="D57" s="17"/>
      <c r="E57" s="28">
        <f t="shared" si="0"/>
        <v>1660.5</v>
      </c>
    </row>
    <row r="58" spans="1:5" x14ac:dyDescent="0.25">
      <c r="A58" s="29">
        <v>45202</v>
      </c>
      <c r="B58" s="27" t="s">
        <v>93</v>
      </c>
      <c r="C58" s="17"/>
      <c r="D58" s="17">
        <f>6*405</f>
        <v>2430</v>
      </c>
      <c r="E58" s="28">
        <f t="shared" si="0"/>
        <v>4090.5</v>
      </c>
    </row>
    <row r="59" spans="1:5" x14ac:dyDescent="0.25">
      <c r="A59" s="29">
        <v>45202</v>
      </c>
      <c r="B59" s="29" t="s">
        <v>49</v>
      </c>
      <c r="C59" s="17"/>
      <c r="D59" s="17">
        <f>10000</f>
        <v>10000</v>
      </c>
      <c r="E59" s="28">
        <f t="shared" si="0"/>
        <v>14090.5</v>
      </c>
    </row>
    <row r="60" spans="1:5" x14ac:dyDescent="0.25">
      <c r="A60" s="29">
        <v>45203</v>
      </c>
      <c r="B60" s="27" t="s">
        <v>94</v>
      </c>
      <c r="C60" s="17">
        <f>150*2.5</f>
        <v>375</v>
      </c>
      <c r="D60" s="17"/>
      <c r="E60" s="28">
        <f t="shared" si="0"/>
        <v>13715.5</v>
      </c>
    </row>
    <row r="61" spans="1:5" x14ac:dyDescent="0.25">
      <c r="A61" s="29">
        <v>45204</v>
      </c>
      <c r="B61" s="27" t="s">
        <v>94</v>
      </c>
      <c r="C61" s="17">
        <f>150*2.5</f>
        <v>375</v>
      </c>
      <c r="D61" s="17"/>
      <c r="E61" s="28">
        <f t="shared" si="0"/>
        <v>13340.5</v>
      </c>
    </row>
    <row r="62" spans="1:5" x14ac:dyDescent="0.25">
      <c r="A62" s="29">
        <v>45204</v>
      </c>
      <c r="B62" s="27" t="s">
        <v>95</v>
      </c>
      <c r="C62" s="17">
        <f>250*2.5</f>
        <v>625</v>
      </c>
      <c r="D62" s="17"/>
      <c r="E62" s="28">
        <f t="shared" si="0"/>
        <v>12715.5</v>
      </c>
    </row>
    <row r="63" spans="1:5" x14ac:dyDescent="0.25">
      <c r="A63" s="29">
        <v>45204</v>
      </c>
      <c r="B63" s="27" t="s">
        <v>96</v>
      </c>
      <c r="C63" s="17">
        <f>1160</f>
        <v>1160</v>
      </c>
      <c r="D63" s="17"/>
      <c r="E63" s="28">
        <f t="shared" si="0"/>
        <v>11555.5</v>
      </c>
    </row>
    <row r="64" spans="1:5" x14ac:dyDescent="0.25">
      <c r="A64" s="29">
        <v>45205</v>
      </c>
      <c r="B64" s="27" t="s">
        <v>31</v>
      </c>
      <c r="C64" s="17">
        <f>375*2.5</f>
        <v>937.5</v>
      </c>
      <c r="D64" s="17"/>
      <c r="E64" s="28">
        <f t="shared" si="0"/>
        <v>10618</v>
      </c>
    </row>
    <row r="65" spans="1:5" x14ac:dyDescent="0.25">
      <c r="A65" s="29">
        <v>45206</v>
      </c>
      <c r="B65" s="27" t="s">
        <v>31</v>
      </c>
      <c r="C65" s="17">
        <f>125*2.5</f>
        <v>312.5</v>
      </c>
      <c r="D65" s="17"/>
      <c r="E65" s="28">
        <f t="shared" si="0"/>
        <v>10305.5</v>
      </c>
    </row>
    <row r="66" spans="1:5" x14ac:dyDescent="0.25">
      <c r="A66" s="29">
        <v>45207</v>
      </c>
      <c r="B66" s="27" t="s">
        <v>31</v>
      </c>
      <c r="C66" s="17">
        <f>150*2.5</f>
        <v>375</v>
      </c>
      <c r="D66" s="17"/>
      <c r="E66" s="28">
        <f t="shared" si="0"/>
        <v>9930.5</v>
      </c>
    </row>
    <row r="67" spans="1:5" x14ac:dyDescent="0.25">
      <c r="A67" s="29">
        <v>45210</v>
      </c>
      <c r="B67" s="27" t="s">
        <v>31</v>
      </c>
      <c r="C67" s="17">
        <f>285*2.5</f>
        <v>712.5</v>
      </c>
      <c r="D67" s="17"/>
      <c r="E67" s="28">
        <f t="shared" si="0"/>
        <v>9218</v>
      </c>
    </row>
    <row r="68" spans="1:5" x14ac:dyDescent="0.25">
      <c r="A68" s="29">
        <v>45210</v>
      </c>
      <c r="B68" s="27" t="s">
        <v>88</v>
      </c>
      <c r="C68" s="17">
        <f>300*2.5</f>
        <v>750</v>
      </c>
      <c r="D68" s="17"/>
      <c r="E68" s="28">
        <f t="shared" si="0"/>
        <v>8468</v>
      </c>
    </row>
    <row r="69" spans="1:5" x14ac:dyDescent="0.25">
      <c r="A69" s="29">
        <v>45210</v>
      </c>
      <c r="B69" s="27" t="s">
        <v>98</v>
      </c>
      <c r="C69" s="17"/>
      <c r="D69" s="17">
        <f>300</f>
        <v>300</v>
      </c>
      <c r="E69" s="28">
        <f t="shared" si="0"/>
        <v>8768</v>
      </c>
    </row>
    <row r="70" spans="1:5" x14ac:dyDescent="0.25">
      <c r="A70" s="29">
        <v>45212</v>
      </c>
      <c r="B70" s="27" t="s">
        <v>32</v>
      </c>
      <c r="C70" s="17">
        <f>700</f>
        <v>700</v>
      </c>
      <c r="D70" s="17"/>
      <c r="E70" s="28">
        <f t="shared" ref="E70:E133" si="1">E69+D70-C70</f>
        <v>8068</v>
      </c>
    </row>
    <row r="71" spans="1:5" x14ac:dyDescent="0.25">
      <c r="A71" s="29">
        <v>45212</v>
      </c>
      <c r="B71" s="27" t="s">
        <v>99</v>
      </c>
      <c r="C71" s="17">
        <f>620*2.5</f>
        <v>1550</v>
      </c>
      <c r="D71" s="17"/>
      <c r="E71" s="28">
        <f t="shared" si="1"/>
        <v>6518</v>
      </c>
    </row>
    <row r="72" spans="1:5" x14ac:dyDescent="0.25">
      <c r="A72" s="29">
        <v>45213</v>
      </c>
      <c r="B72" s="27" t="s">
        <v>100</v>
      </c>
      <c r="C72" s="17">
        <f>335*2.5</f>
        <v>837.5</v>
      </c>
      <c r="D72" s="17"/>
      <c r="E72" s="28">
        <f t="shared" si="1"/>
        <v>5680.5</v>
      </c>
    </row>
    <row r="73" spans="1:5" x14ac:dyDescent="0.25">
      <c r="A73" s="29">
        <v>45214</v>
      </c>
      <c r="B73" s="27" t="s">
        <v>60</v>
      </c>
      <c r="C73" s="17">
        <f>250</f>
        <v>250</v>
      </c>
      <c r="D73" s="17"/>
      <c r="E73" s="28">
        <f t="shared" si="1"/>
        <v>5430.5</v>
      </c>
    </row>
    <row r="74" spans="1:5" x14ac:dyDescent="0.25">
      <c r="A74" s="29">
        <v>45218</v>
      </c>
      <c r="B74" s="27" t="s">
        <v>55</v>
      </c>
      <c r="C74" s="17">
        <f>600*2.5</f>
        <v>1500</v>
      </c>
      <c r="D74" s="17"/>
      <c r="E74" s="28">
        <f t="shared" si="1"/>
        <v>3930.5</v>
      </c>
    </row>
    <row r="75" spans="1:5" x14ac:dyDescent="0.25">
      <c r="A75" s="29">
        <v>45220</v>
      </c>
      <c r="B75" s="27" t="s">
        <v>31</v>
      </c>
      <c r="C75" s="17">
        <f>400*2.5</f>
        <v>1000</v>
      </c>
      <c r="D75" s="17"/>
      <c r="E75" s="28">
        <f t="shared" si="1"/>
        <v>2930.5</v>
      </c>
    </row>
    <row r="76" spans="1:5" x14ac:dyDescent="0.25">
      <c r="A76" s="29">
        <v>45221</v>
      </c>
      <c r="B76" s="27" t="s">
        <v>31</v>
      </c>
      <c r="C76" s="17">
        <f>250</f>
        <v>250</v>
      </c>
      <c r="D76" s="17"/>
      <c r="E76" s="28">
        <f t="shared" si="1"/>
        <v>2680.5</v>
      </c>
    </row>
    <row r="77" spans="1:5" x14ac:dyDescent="0.25">
      <c r="A77" s="29">
        <v>45222</v>
      </c>
      <c r="B77" s="27" t="s">
        <v>49</v>
      </c>
      <c r="C77" s="17"/>
      <c r="D77" s="17">
        <f>5000</f>
        <v>5000</v>
      </c>
      <c r="E77" s="28">
        <f t="shared" si="1"/>
        <v>7680.5</v>
      </c>
    </row>
    <row r="78" spans="1:5" x14ac:dyDescent="0.25">
      <c r="A78" s="29">
        <v>45222</v>
      </c>
      <c r="B78" s="27" t="s">
        <v>31</v>
      </c>
      <c r="C78" s="17">
        <f>220*2.5</f>
        <v>550</v>
      </c>
      <c r="D78" s="17"/>
      <c r="E78" s="28">
        <f t="shared" si="1"/>
        <v>7130.5</v>
      </c>
    </row>
    <row r="79" spans="1:5" x14ac:dyDescent="0.25">
      <c r="A79" s="29">
        <v>45224</v>
      </c>
      <c r="B79" s="27" t="s">
        <v>31</v>
      </c>
      <c r="C79" s="17">
        <f>124*2.5</f>
        <v>310</v>
      </c>
      <c r="D79" s="17"/>
      <c r="E79" s="28">
        <f t="shared" si="1"/>
        <v>6820.5</v>
      </c>
    </row>
    <row r="80" spans="1:5" x14ac:dyDescent="0.25">
      <c r="A80" s="29">
        <v>45226</v>
      </c>
      <c r="B80" s="27" t="s">
        <v>31</v>
      </c>
      <c r="C80" s="17">
        <f>155*2.5</f>
        <v>387.5</v>
      </c>
      <c r="D80" s="17"/>
      <c r="E80" s="28">
        <f t="shared" si="1"/>
        <v>6433</v>
      </c>
    </row>
    <row r="81" spans="1:5" x14ac:dyDescent="0.25">
      <c r="A81" s="29">
        <v>45228</v>
      </c>
      <c r="B81" s="27" t="s">
        <v>51</v>
      </c>
      <c r="C81" s="17">
        <f>720*2.5</f>
        <v>1800</v>
      </c>
      <c r="D81" s="17"/>
      <c r="E81" s="28">
        <f t="shared" si="1"/>
        <v>4633</v>
      </c>
    </row>
    <row r="82" spans="1:5" x14ac:dyDescent="0.25">
      <c r="A82" s="29">
        <v>45228</v>
      </c>
      <c r="B82" s="27" t="s">
        <v>51</v>
      </c>
      <c r="C82" s="17">
        <f>100*2.5</f>
        <v>250</v>
      </c>
      <c r="D82" s="17"/>
      <c r="E82" s="28">
        <f t="shared" si="1"/>
        <v>4383</v>
      </c>
    </row>
    <row r="83" spans="1:5" x14ac:dyDescent="0.25">
      <c r="A83" s="29">
        <v>45230</v>
      </c>
      <c r="B83" s="27" t="s">
        <v>101</v>
      </c>
      <c r="C83" s="17">
        <f>400</f>
        <v>400</v>
      </c>
      <c r="D83" s="17"/>
      <c r="E83" s="28">
        <f t="shared" si="1"/>
        <v>3983</v>
      </c>
    </row>
    <row r="84" spans="1:5" x14ac:dyDescent="0.25">
      <c r="A84" s="29"/>
      <c r="B84" s="27"/>
      <c r="C84" s="17"/>
      <c r="D84" s="17"/>
      <c r="E84" s="28">
        <f t="shared" si="1"/>
        <v>3983</v>
      </c>
    </row>
    <row r="85" spans="1:5" x14ac:dyDescent="0.25">
      <c r="A85" s="29">
        <v>45231</v>
      </c>
      <c r="B85" s="27" t="s">
        <v>47</v>
      </c>
      <c r="C85" s="17">
        <f>805</f>
        <v>805</v>
      </c>
      <c r="D85" s="17"/>
      <c r="E85" s="28">
        <f t="shared" si="1"/>
        <v>3178</v>
      </c>
    </row>
    <row r="86" spans="1:5" x14ac:dyDescent="0.25">
      <c r="A86" s="29">
        <v>45232</v>
      </c>
      <c r="B86" s="27" t="s">
        <v>60</v>
      </c>
      <c r="C86" s="17">
        <f>250</f>
        <v>250</v>
      </c>
      <c r="D86" s="17"/>
      <c r="E86" s="28">
        <f t="shared" si="1"/>
        <v>2928</v>
      </c>
    </row>
    <row r="87" spans="1:5" x14ac:dyDescent="0.25">
      <c r="A87" s="29">
        <v>45234</v>
      </c>
      <c r="B87" s="27" t="s">
        <v>60</v>
      </c>
      <c r="C87" s="17">
        <f>250</f>
        <v>250</v>
      </c>
      <c r="D87" s="17"/>
      <c r="E87" s="28">
        <f t="shared" si="1"/>
        <v>2678</v>
      </c>
    </row>
    <row r="88" spans="1:5" x14ac:dyDescent="0.25">
      <c r="A88" s="29">
        <v>45236</v>
      </c>
      <c r="B88" s="27" t="s">
        <v>60</v>
      </c>
      <c r="C88" s="17">
        <f>250</f>
        <v>250</v>
      </c>
      <c r="D88" s="17"/>
      <c r="E88" s="28">
        <f t="shared" si="1"/>
        <v>2428</v>
      </c>
    </row>
    <row r="89" spans="1:5" x14ac:dyDescent="0.25">
      <c r="A89" s="29">
        <v>45237</v>
      </c>
      <c r="B89" s="27" t="s">
        <v>60</v>
      </c>
      <c r="C89" s="17">
        <f>250</f>
        <v>250</v>
      </c>
      <c r="D89" s="17"/>
      <c r="E89" s="28">
        <f t="shared" si="1"/>
        <v>2178</v>
      </c>
    </row>
    <row r="90" spans="1:5" x14ac:dyDescent="0.25">
      <c r="A90" s="29">
        <v>45237</v>
      </c>
      <c r="B90" s="27" t="s">
        <v>49</v>
      </c>
      <c r="C90" s="17"/>
      <c r="D90" s="17">
        <f>2000</f>
        <v>2000</v>
      </c>
      <c r="E90" s="28">
        <f t="shared" si="1"/>
        <v>4178</v>
      </c>
    </row>
    <row r="91" spans="1:5" x14ac:dyDescent="0.25">
      <c r="A91" s="29">
        <v>45240</v>
      </c>
      <c r="B91" s="27" t="s">
        <v>102</v>
      </c>
      <c r="C91" s="17">
        <f>500*2.5</f>
        <v>1250</v>
      </c>
      <c r="D91" s="17"/>
      <c r="E91" s="28">
        <f t="shared" si="1"/>
        <v>2928</v>
      </c>
    </row>
    <row r="92" spans="1:5" x14ac:dyDescent="0.25">
      <c r="A92" s="29">
        <v>45241</v>
      </c>
      <c r="B92" s="27" t="s">
        <v>59</v>
      </c>
      <c r="C92" s="17">
        <f>50*2.5</f>
        <v>125</v>
      </c>
      <c r="D92" s="17"/>
      <c r="E92" s="28">
        <f t="shared" si="1"/>
        <v>2803</v>
      </c>
    </row>
    <row r="93" spans="1:5" x14ac:dyDescent="0.25">
      <c r="A93" s="29">
        <v>45244</v>
      </c>
      <c r="B93" s="27" t="s">
        <v>103</v>
      </c>
      <c r="C93" s="17">
        <f>1000</f>
        <v>1000</v>
      </c>
      <c r="D93" s="17"/>
      <c r="E93" s="28">
        <f t="shared" si="1"/>
        <v>1803</v>
      </c>
    </row>
    <row r="94" spans="1:5" x14ac:dyDescent="0.25">
      <c r="A94" s="29">
        <v>45245</v>
      </c>
      <c r="B94" s="27" t="s">
        <v>32</v>
      </c>
      <c r="C94" s="17">
        <f>700</f>
        <v>700</v>
      </c>
      <c r="D94" s="17"/>
      <c r="E94" s="28">
        <f t="shared" si="1"/>
        <v>1103</v>
      </c>
    </row>
    <row r="95" spans="1:5" x14ac:dyDescent="0.25">
      <c r="A95" s="29">
        <v>45245</v>
      </c>
      <c r="B95" s="27" t="s">
        <v>60</v>
      </c>
      <c r="C95" s="17">
        <f>250</f>
        <v>250</v>
      </c>
      <c r="D95" s="17"/>
      <c r="E95" s="28">
        <f t="shared" si="1"/>
        <v>853</v>
      </c>
    </row>
    <row r="96" spans="1:5" x14ac:dyDescent="0.25">
      <c r="A96" s="29">
        <v>45245</v>
      </c>
      <c r="B96" s="27" t="s">
        <v>49</v>
      </c>
      <c r="C96" s="17"/>
      <c r="D96" s="17">
        <f>5000</f>
        <v>5000</v>
      </c>
      <c r="E96" s="28">
        <f t="shared" si="1"/>
        <v>5853</v>
      </c>
    </row>
    <row r="97" spans="1:5" x14ac:dyDescent="0.25">
      <c r="A97" s="29">
        <v>45246</v>
      </c>
      <c r="B97" s="27" t="s">
        <v>104</v>
      </c>
      <c r="C97" s="17">
        <f>620*2.5</f>
        <v>1550</v>
      </c>
      <c r="D97" s="17"/>
      <c r="E97" s="28">
        <f t="shared" si="1"/>
        <v>4303</v>
      </c>
    </row>
    <row r="98" spans="1:5" x14ac:dyDescent="0.25">
      <c r="A98" s="29">
        <v>45247</v>
      </c>
      <c r="B98" s="27" t="s">
        <v>60</v>
      </c>
      <c r="C98" s="17">
        <f>250</f>
        <v>250</v>
      </c>
      <c r="D98" s="17"/>
      <c r="E98" s="28">
        <f t="shared" si="1"/>
        <v>4053</v>
      </c>
    </row>
    <row r="99" spans="1:5" x14ac:dyDescent="0.25">
      <c r="A99" s="29">
        <v>45248</v>
      </c>
      <c r="B99" s="27" t="s">
        <v>105</v>
      </c>
      <c r="C99" s="17">
        <f>250*2.5</f>
        <v>625</v>
      </c>
      <c r="D99" s="17"/>
      <c r="E99" s="28">
        <f t="shared" si="1"/>
        <v>3428</v>
      </c>
    </row>
    <row r="100" spans="1:5" x14ac:dyDescent="0.25">
      <c r="A100" s="29">
        <v>45250</v>
      </c>
      <c r="B100" s="27" t="s">
        <v>73</v>
      </c>
      <c r="C100" s="17">
        <f>70*2.5</f>
        <v>175</v>
      </c>
      <c r="D100" s="17"/>
      <c r="E100" s="28">
        <f t="shared" si="1"/>
        <v>3253</v>
      </c>
    </row>
    <row r="101" spans="1:5" x14ac:dyDescent="0.25">
      <c r="A101" s="29">
        <v>45252</v>
      </c>
      <c r="B101" s="27" t="s">
        <v>61</v>
      </c>
      <c r="C101" s="17">
        <f>150*2.5</f>
        <v>375</v>
      </c>
      <c r="D101" s="17"/>
      <c r="E101" s="28">
        <f t="shared" si="1"/>
        <v>2878</v>
      </c>
    </row>
    <row r="102" spans="1:5" x14ac:dyDescent="0.25">
      <c r="A102" s="29">
        <v>45252</v>
      </c>
      <c r="B102" s="27" t="s">
        <v>106</v>
      </c>
      <c r="C102" s="17">
        <f>100</f>
        <v>100</v>
      </c>
      <c r="D102" s="17"/>
      <c r="E102" s="28">
        <f t="shared" si="1"/>
        <v>2778</v>
      </c>
    </row>
    <row r="103" spans="1:5" x14ac:dyDescent="0.25">
      <c r="A103" s="29">
        <v>45253</v>
      </c>
      <c r="B103" s="27" t="s">
        <v>107</v>
      </c>
      <c r="C103" s="17">
        <f>145</f>
        <v>145</v>
      </c>
      <c r="D103" s="17"/>
      <c r="E103" s="28">
        <f t="shared" si="1"/>
        <v>2633</v>
      </c>
    </row>
    <row r="104" spans="1:5" x14ac:dyDescent="0.25">
      <c r="A104" s="29">
        <v>45254</v>
      </c>
      <c r="B104" s="27" t="s">
        <v>108</v>
      </c>
      <c r="C104" s="17">
        <f>557*2.5</f>
        <v>1392.5</v>
      </c>
      <c r="D104" s="17"/>
      <c r="E104" s="28">
        <f t="shared" si="1"/>
        <v>1240.5</v>
      </c>
    </row>
    <row r="105" spans="1:5" x14ac:dyDescent="0.25">
      <c r="A105" s="29">
        <v>45254</v>
      </c>
      <c r="B105" s="27" t="s">
        <v>108</v>
      </c>
      <c r="C105" s="17">
        <f>410*2.5</f>
        <v>1025</v>
      </c>
      <c r="D105" s="17"/>
      <c r="E105" s="28">
        <f t="shared" si="1"/>
        <v>215.5</v>
      </c>
    </row>
    <row r="106" spans="1:5" x14ac:dyDescent="0.25">
      <c r="A106" s="29">
        <v>45257</v>
      </c>
      <c r="B106" s="27" t="s">
        <v>31</v>
      </c>
      <c r="C106" s="17">
        <f>245*2.5</f>
        <v>612.5</v>
      </c>
      <c r="D106" s="17"/>
      <c r="E106" s="28">
        <f t="shared" si="1"/>
        <v>-397</v>
      </c>
    </row>
    <row r="107" spans="1:5" x14ac:dyDescent="0.25">
      <c r="A107" s="29">
        <v>44955</v>
      </c>
      <c r="B107" s="27" t="s">
        <v>31</v>
      </c>
      <c r="C107" s="17">
        <f>150*2.5</f>
        <v>375</v>
      </c>
      <c r="D107" s="17"/>
      <c r="E107" s="28">
        <f t="shared" si="1"/>
        <v>-772</v>
      </c>
    </row>
    <row r="108" spans="1:5" x14ac:dyDescent="0.25">
      <c r="A108" s="29">
        <v>45260</v>
      </c>
      <c r="B108" s="27" t="s">
        <v>31</v>
      </c>
      <c r="C108" s="17">
        <f>200*2.5</f>
        <v>500</v>
      </c>
      <c r="D108" s="17"/>
      <c r="E108" s="28">
        <f t="shared" si="1"/>
        <v>-1272</v>
      </c>
    </row>
    <row r="109" spans="1:5" x14ac:dyDescent="0.25">
      <c r="A109" s="29">
        <v>45260</v>
      </c>
      <c r="B109" s="27" t="s">
        <v>51</v>
      </c>
      <c r="C109" s="17">
        <f>540*2.5</f>
        <v>1350</v>
      </c>
      <c r="D109" s="17"/>
      <c r="E109" s="28">
        <f t="shared" si="1"/>
        <v>-2622</v>
      </c>
    </row>
    <row r="110" spans="1:5" x14ac:dyDescent="0.25">
      <c r="A110" s="29"/>
      <c r="B110" s="27"/>
      <c r="C110" s="17"/>
      <c r="D110" s="17"/>
      <c r="E110" s="28">
        <f t="shared" si="1"/>
        <v>-2622</v>
      </c>
    </row>
    <row r="111" spans="1:5" x14ac:dyDescent="0.25">
      <c r="A111" s="29">
        <v>45264</v>
      </c>
      <c r="B111" s="27" t="s">
        <v>31</v>
      </c>
      <c r="C111" s="17">
        <f>150*2.5</f>
        <v>375</v>
      </c>
      <c r="D111" s="17"/>
      <c r="E111" s="28">
        <f t="shared" si="1"/>
        <v>-2997</v>
      </c>
    </row>
    <row r="112" spans="1:5" x14ac:dyDescent="0.25">
      <c r="A112" s="29">
        <v>45265</v>
      </c>
      <c r="B112" s="27" t="s">
        <v>31</v>
      </c>
      <c r="C112" s="17">
        <f>250</f>
        <v>250</v>
      </c>
      <c r="D112" s="17"/>
      <c r="E112" s="28">
        <f t="shared" si="1"/>
        <v>-3247</v>
      </c>
    </row>
    <row r="113" spans="1:6" x14ac:dyDescent="0.25">
      <c r="A113" s="29">
        <v>45268</v>
      </c>
      <c r="B113" s="27" t="s">
        <v>49</v>
      </c>
      <c r="C113" s="17"/>
      <c r="D113" s="17">
        <f>5000</f>
        <v>5000</v>
      </c>
      <c r="E113" s="28">
        <f t="shared" si="1"/>
        <v>1753</v>
      </c>
    </row>
    <row r="114" spans="1:6" x14ac:dyDescent="0.25">
      <c r="A114" s="29">
        <v>45271</v>
      </c>
      <c r="B114" s="27" t="s">
        <v>31</v>
      </c>
      <c r="C114" s="17">
        <f>250</f>
        <v>250</v>
      </c>
      <c r="D114" s="17"/>
      <c r="E114" s="28">
        <f t="shared" si="1"/>
        <v>1503</v>
      </c>
    </row>
    <row r="115" spans="1:6" x14ac:dyDescent="0.25">
      <c r="A115" s="29">
        <v>45271</v>
      </c>
      <c r="B115" s="27" t="s">
        <v>32</v>
      </c>
      <c r="C115" s="17">
        <f>700</f>
        <v>700</v>
      </c>
      <c r="D115" s="17"/>
      <c r="E115" s="28">
        <f t="shared" si="1"/>
        <v>803</v>
      </c>
    </row>
    <row r="116" spans="1:6" x14ac:dyDescent="0.25">
      <c r="A116" s="29">
        <v>45273</v>
      </c>
      <c r="B116" s="27" t="s">
        <v>67</v>
      </c>
      <c r="C116" s="17">
        <f>120*2.5</f>
        <v>300</v>
      </c>
      <c r="D116" s="17"/>
      <c r="E116" s="28">
        <f t="shared" si="1"/>
        <v>503</v>
      </c>
    </row>
    <row r="117" spans="1:6" x14ac:dyDescent="0.25">
      <c r="A117" s="29">
        <v>45274</v>
      </c>
      <c r="B117" s="27" t="s">
        <v>31</v>
      </c>
      <c r="C117" s="17">
        <f>352*2.5</f>
        <v>880</v>
      </c>
      <c r="D117" s="17"/>
      <c r="E117" s="28">
        <f t="shared" si="1"/>
        <v>-377</v>
      </c>
    </row>
    <row r="118" spans="1:6" x14ac:dyDescent="0.25">
      <c r="A118" s="29">
        <v>45275</v>
      </c>
      <c r="B118" s="27" t="s">
        <v>31</v>
      </c>
      <c r="C118" s="17">
        <f>300</f>
        <v>300</v>
      </c>
      <c r="D118" s="17"/>
      <c r="E118" s="28">
        <f t="shared" si="1"/>
        <v>-677</v>
      </c>
    </row>
    <row r="119" spans="1:6" x14ac:dyDescent="0.25">
      <c r="A119" s="29">
        <v>45276</v>
      </c>
      <c r="B119" s="27" t="s">
        <v>31</v>
      </c>
      <c r="C119" s="17">
        <f>150*2.5</f>
        <v>375</v>
      </c>
      <c r="D119" s="17"/>
      <c r="E119" s="28">
        <f t="shared" si="1"/>
        <v>-1052</v>
      </c>
    </row>
    <row r="120" spans="1:6" x14ac:dyDescent="0.25">
      <c r="A120" s="29">
        <v>45276</v>
      </c>
      <c r="B120" s="27" t="s">
        <v>51</v>
      </c>
      <c r="C120" s="17">
        <f>1380*2.5</f>
        <v>3450</v>
      </c>
      <c r="D120" s="17"/>
      <c r="E120" s="28">
        <f t="shared" si="1"/>
        <v>-4502</v>
      </c>
    </row>
    <row r="121" spans="1:6" x14ac:dyDescent="0.25">
      <c r="A121" s="29">
        <v>45276</v>
      </c>
      <c r="B121" s="27" t="s">
        <v>109</v>
      </c>
      <c r="C121" s="17"/>
      <c r="D121" s="17">
        <f>400</f>
        <v>400</v>
      </c>
      <c r="E121" s="28">
        <f t="shared" si="1"/>
        <v>-4102</v>
      </c>
    </row>
    <row r="122" spans="1:6" x14ac:dyDescent="0.25">
      <c r="A122" s="29">
        <v>45277</v>
      </c>
      <c r="B122" s="27" t="s">
        <v>31</v>
      </c>
      <c r="C122" s="17">
        <f>250*2.5</f>
        <v>625</v>
      </c>
      <c r="D122" s="17"/>
      <c r="E122" s="28">
        <f t="shared" si="1"/>
        <v>-4727</v>
      </c>
    </row>
    <row r="123" spans="1:6" x14ac:dyDescent="0.25">
      <c r="A123" s="29">
        <v>45278</v>
      </c>
      <c r="B123" s="27" t="s">
        <v>49</v>
      </c>
      <c r="C123" s="17"/>
      <c r="D123" s="17">
        <f>10000</f>
        <v>10000</v>
      </c>
      <c r="E123" s="28">
        <f t="shared" si="1"/>
        <v>5273</v>
      </c>
    </row>
    <row r="124" spans="1:6" x14ac:dyDescent="0.25">
      <c r="A124" s="29">
        <v>45279</v>
      </c>
      <c r="B124" s="27" t="s">
        <v>31</v>
      </c>
      <c r="C124" s="17">
        <f>200*2.5</f>
        <v>500</v>
      </c>
      <c r="D124" s="17"/>
      <c r="E124" s="28">
        <f t="shared" si="1"/>
        <v>4773</v>
      </c>
      <c r="F124" t="s">
        <v>48</v>
      </c>
    </row>
    <row r="125" spans="1:6" x14ac:dyDescent="0.25">
      <c r="A125" s="29">
        <v>45280</v>
      </c>
      <c r="B125" s="27" t="s">
        <v>31</v>
      </c>
      <c r="C125" s="17">
        <f>300*2.5</f>
        <v>750</v>
      </c>
      <c r="D125" s="17"/>
      <c r="E125" s="28">
        <f t="shared" si="1"/>
        <v>4023</v>
      </c>
    </row>
    <row r="126" spans="1:6" x14ac:dyDescent="0.25">
      <c r="A126" s="29">
        <v>45281</v>
      </c>
      <c r="B126" s="27" t="s">
        <v>31</v>
      </c>
      <c r="C126" s="17">
        <f>60*2.5</f>
        <v>150</v>
      </c>
      <c r="D126" s="17"/>
      <c r="E126" s="28">
        <f t="shared" si="1"/>
        <v>3873</v>
      </c>
    </row>
    <row r="127" spans="1:6" x14ac:dyDescent="0.25">
      <c r="A127" s="29">
        <v>45282</v>
      </c>
      <c r="B127" s="27" t="s">
        <v>31</v>
      </c>
      <c r="C127" s="17">
        <f>250</f>
        <v>250</v>
      </c>
      <c r="D127" s="17"/>
      <c r="E127" s="28">
        <f t="shared" si="1"/>
        <v>3623</v>
      </c>
    </row>
    <row r="128" spans="1:6" x14ac:dyDescent="0.25">
      <c r="A128" s="29">
        <v>45283</v>
      </c>
      <c r="B128" s="27" t="s">
        <v>32</v>
      </c>
      <c r="C128" s="17">
        <f>700</f>
        <v>700</v>
      </c>
      <c r="D128" s="17"/>
      <c r="E128" s="28">
        <f t="shared" si="1"/>
        <v>2923</v>
      </c>
    </row>
    <row r="129" spans="1:10" x14ac:dyDescent="0.25">
      <c r="A129" s="29">
        <v>45283</v>
      </c>
      <c r="B129" s="27" t="s">
        <v>31</v>
      </c>
      <c r="C129" s="17">
        <f>265*2.5</f>
        <v>662.5</v>
      </c>
      <c r="D129" s="17"/>
      <c r="E129" s="28">
        <f t="shared" si="1"/>
        <v>2260.5</v>
      </c>
    </row>
    <row r="130" spans="1:10" x14ac:dyDescent="0.25">
      <c r="A130" s="29">
        <v>45284</v>
      </c>
      <c r="B130" s="27" t="s">
        <v>31</v>
      </c>
      <c r="C130" s="17">
        <f>83*2.5</f>
        <v>207.5</v>
      </c>
      <c r="D130" s="17"/>
      <c r="E130" s="28">
        <f t="shared" si="1"/>
        <v>2053</v>
      </c>
    </row>
    <row r="131" spans="1:10" x14ac:dyDescent="0.25">
      <c r="A131" s="29">
        <v>45285</v>
      </c>
      <c r="B131" s="27" t="s">
        <v>31</v>
      </c>
      <c r="C131" s="17">
        <f>802.5</f>
        <v>802.5</v>
      </c>
      <c r="D131" s="17"/>
      <c r="E131" s="28">
        <f t="shared" si="1"/>
        <v>1250.5</v>
      </c>
    </row>
    <row r="132" spans="1:10" x14ac:dyDescent="0.25">
      <c r="A132" s="29">
        <v>45287</v>
      </c>
      <c r="B132" s="27" t="s">
        <v>31</v>
      </c>
      <c r="C132" s="17">
        <f>340*2.5</f>
        <v>850</v>
      </c>
      <c r="D132" s="17"/>
      <c r="E132" s="28">
        <f t="shared" si="1"/>
        <v>400.5</v>
      </c>
    </row>
    <row r="133" spans="1:10" s="36" customFormat="1" x14ac:dyDescent="0.25">
      <c r="A133" s="29">
        <v>45297</v>
      </c>
      <c r="B133" s="27" t="s">
        <v>49</v>
      </c>
      <c r="C133" s="17"/>
      <c r="D133" s="17">
        <f>3000</f>
        <v>3000</v>
      </c>
      <c r="E133" s="28">
        <f t="shared" si="1"/>
        <v>3400.5</v>
      </c>
      <c r="F133"/>
      <c r="G133"/>
      <c r="H133"/>
      <c r="I133"/>
      <c r="J133"/>
    </row>
    <row r="134" spans="1:10" x14ac:dyDescent="0.25">
      <c r="A134" s="29">
        <v>45307</v>
      </c>
      <c r="B134" s="27" t="s">
        <v>110</v>
      </c>
      <c r="C134" s="17">
        <f>740*2.5</f>
        <v>1850</v>
      </c>
      <c r="D134" s="17"/>
      <c r="E134" s="28">
        <f t="shared" ref="E134:E197" si="2">E133+D134-C134</f>
        <v>1550.5</v>
      </c>
    </row>
    <row r="135" spans="1:10" x14ac:dyDescent="0.25">
      <c r="A135" s="29">
        <v>45308</v>
      </c>
      <c r="B135" s="27" t="s">
        <v>31</v>
      </c>
      <c r="C135" s="17">
        <f>200*2.5</f>
        <v>500</v>
      </c>
      <c r="D135" s="17"/>
      <c r="E135" s="28">
        <f t="shared" si="2"/>
        <v>1050.5</v>
      </c>
    </row>
    <row r="136" spans="1:10" x14ac:dyDescent="0.25">
      <c r="A136" s="29">
        <v>45309</v>
      </c>
      <c r="B136" s="27" t="s">
        <v>49</v>
      </c>
      <c r="C136" s="17"/>
      <c r="D136" s="17">
        <f>3000</f>
        <v>3000</v>
      </c>
      <c r="E136" s="28">
        <f t="shared" si="2"/>
        <v>4050.5</v>
      </c>
    </row>
    <row r="137" spans="1:10" x14ac:dyDescent="0.25">
      <c r="A137" s="29">
        <v>45309</v>
      </c>
      <c r="B137" s="27" t="s">
        <v>31</v>
      </c>
      <c r="C137" s="17">
        <f>50*2.5</f>
        <v>125</v>
      </c>
      <c r="D137" s="17"/>
      <c r="E137" s="28">
        <f t="shared" si="2"/>
        <v>3925.5</v>
      </c>
    </row>
    <row r="138" spans="1:10" x14ac:dyDescent="0.25">
      <c r="A138" s="29">
        <v>45310</v>
      </c>
      <c r="B138" s="27" t="s">
        <v>31</v>
      </c>
      <c r="C138" s="17">
        <f>25*2.5</f>
        <v>62.5</v>
      </c>
      <c r="D138" s="17"/>
      <c r="E138" s="28">
        <f t="shared" si="2"/>
        <v>3863</v>
      </c>
    </row>
    <row r="139" spans="1:10" x14ac:dyDescent="0.25">
      <c r="A139" s="29">
        <v>45310</v>
      </c>
      <c r="B139" s="27" t="s">
        <v>32</v>
      </c>
      <c r="C139" s="17">
        <f>700</f>
        <v>700</v>
      </c>
      <c r="D139" s="17"/>
      <c r="E139" s="28">
        <f t="shared" si="2"/>
        <v>3163</v>
      </c>
    </row>
    <row r="140" spans="1:10" x14ac:dyDescent="0.25">
      <c r="A140" s="29">
        <v>45316</v>
      </c>
      <c r="B140" s="27" t="s">
        <v>51</v>
      </c>
      <c r="C140" s="17">
        <f>140*2.5</f>
        <v>350</v>
      </c>
      <c r="D140" s="17"/>
      <c r="E140" s="28">
        <f t="shared" si="2"/>
        <v>2813</v>
      </c>
    </row>
    <row r="141" spans="1:10" x14ac:dyDescent="0.25">
      <c r="A141" s="29">
        <v>45317</v>
      </c>
      <c r="B141" s="27" t="s">
        <v>31</v>
      </c>
      <c r="C141" s="17">
        <f>50*2.5</f>
        <v>125</v>
      </c>
      <c r="D141" s="17"/>
      <c r="E141" s="28">
        <f t="shared" si="2"/>
        <v>2688</v>
      </c>
    </row>
    <row r="142" spans="1:10" x14ac:dyDescent="0.25">
      <c r="A142" s="29">
        <v>45318</v>
      </c>
      <c r="B142" s="27" t="s">
        <v>31</v>
      </c>
      <c r="C142" s="17">
        <f>90*2.5</f>
        <v>225</v>
      </c>
      <c r="D142" s="17"/>
      <c r="E142" s="28">
        <f t="shared" si="2"/>
        <v>2463</v>
      </c>
    </row>
    <row r="143" spans="1:10" x14ac:dyDescent="0.25">
      <c r="A143" s="29">
        <v>45319</v>
      </c>
      <c r="B143" s="27" t="s">
        <v>31</v>
      </c>
      <c r="C143" s="17">
        <f>30*1.5</f>
        <v>45</v>
      </c>
      <c r="D143" s="17"/>
      <c r="E143" s="28">
        <f t="shared" si="2"/>
        <v>2418</v>
      </c>
    </row>
    <row r="144" spans="1:10" x14ac:dyDescent="0.25">
      <c r="A144" s="29">
        <v>45321</v>
      </c>
      <c r="B144" s="27" t="s">
        <v>31</v>
      </c>
      <c r="C144" s="20">
        <f>100*2.5</f>
        <v>250</v>
      </c>
      <c r="D144" s="17"/>
      <c r="E144" s="28">
        <f t="shared" si="2"/>
        <v>2168</v>
      </c>
    </row>
    <row r="145" spans="1:5" x14ac:dyDescent="0.25">
      <c r="A145" s="29">
        <v>45322</v>
      </c>
      <c r="B145" s="27" t="s">
        <v>31</v>
      </c>
      <c r="C145" s="17">
        <f>125*2.5</f>
        <v>312.5</v>
      </c>
      <c r="D145" s="17"/>
      <c r="E145" s="28">
        <f t="shared" si="2"/>
        <v>1855.5</v>
      </c>
    </row>
    <row r="146" spans="1:5" x14ac:dyDescent="0.25">
      <c r="A146" s="29"/>
      <c r="B146" s="27"/>
      <c r="C146" s="17"/>
      <c r="D146" s="17"/>
      <c r="E146" s="28">
        <f t="shared" si="2"/>
        <v>1855.5</v>
      </c>
    </row>
    <row r="147" spans="1:5" x14ac:dyDescent="0.25">
      <c r="A147" s="29">
        <v>45325</v>
      </c>
      <c r="B147" s="27" t="s">
        <v>31</v>
      </c>
      <c r="C147" s="17">
        <f>30*2.5</f>
        <v>75</v>
      </c>
      <c r="D147" s="17"/>
      <c r="E147" s="28">
        <f t="shared" si="2"/>
        <v>1780.5</v>
      </c>
    </row>
    <row r="148" spans="1:5" x14ac:dyDescent="0.25">
      <c r="A148" s="29">
        <v>45328</v>
      </c>
      <c r="B148" s="27" t="s">
        <v>31</v>
      </c>
      <c r="C148" s="17">
        <f>240*2.5</f>
        <v>600</v>
      </c>
      <c r="D148" s="17"/>
      <c r="E148" s="28">
        <f t="shared" si="2"/>
        <v>1180.5</v>
      </c>
    </row>
    <row r="149" spans="1:5" x14ac:dyDescent="0.25">
      <c r="A149" s="29">
        <v>45330</v>
      </c>
      <c r="B149" s="27" t="s">
        <v>31</v>
      </c>
      <c r="C149" s="17">
        <f>200*2.5</f>
        <v>500</v>
      </c>
      <c r="D149" s="17"/>
      <c r="E149" s="28">
        <f t="shared" si="2"/>
        <v>680.5</v>
      </c>
    </row>
    <row r="150" spans="1:5" x14ac:dyDescent="0.25">
      <c r="A150" s="29">
        <v>45333</v>
      </c>
      <c r="B150" s="27" t="s">
        <v>31</v>
      </c>
      <c r="C150" s="17">
        <f>80*2.5</f>
        <v>200</v>
      </c>
      <c r="D150" s="17"/>
      <c r="E150" s="28">
        <f t="shared" si="2"/>
        <v>480.5</v>
      </c>
    </row>
    <row r="151" spans="1:5" x14ac:dyDescent="0.25">
      <c r="A151" s="29">
        <v>45338</v>
      </c>
      <c r="B151" s="27" t="s">
        <v>31</v>
      </c>
      <c r="C151" s="17">
        <f>10*2.5</f>
        <v>25</v>
      </c>
      <c r="D151" s="17"/>
      <c r="E151" s="28">
        <f t="shared" si="2"/>
        <v>455.5</v>
      </c>
    </row>
    <row r="152" spans="1:5" x14ac:dyDescent="0.25">
      <c r="A152" s="29">
        <v>45345</v>
      </c>
      <c r="B152" s="27" t="s">
        <v>31</v>
      </c>
      <c r="C152" s="17">
        <f>120*2.5</f>
        <v>300</v>
      </c>
      <c r="D152" s="17"/>
      <c r="E152" s="28">
        <f t="shared" si="2"/>
        <v>155.5</v>
      </c>
    </row>
    <row r="153" spans="1:5" x14ac:dyDescent="0.25">
      <c r="A153" s="29"/>
      <c r="B153" s="27"/>
      <c r="C153" s="17"/>
      <c r="D153" s="17"/>
      <c r="E153" s="28">
        <f t="shared" si="2"/>
        <v>155.5</v>
      </c>
    </row>
    <row r="154" spans="1:5" x14ac:dyDescent="0.25">
      <c r="A154" s="29">
        <v>45388</v>
      </c>
      <c r="B154" s="27" t="s">
        <v>51</v>
      </c>
      <c r="C154" s="17">
        <f>740*2.5</f>
        <v>1850</v>
      </c>
      <c r="D154" s="17"/>
      <c r="E154" s="28">
        <f t="shared" si="2"/>
        <v>-1694.5</v>
      </c>
    </row>
    <row r="155" spans="1:5" x14ac:dyDescent="0.25">
      <c r="A155" s="29">
        <v>45389</v>
      </c>
      <c r="B155" s="27" t="s">
        <v>31</v>
      </c>
      <c r="C155" s="17">
        <f>70*2.5</f>
        <v>175</v>
      </c>
      <c r="D155" s="17"/>
      <c r="E155" s="28">
        <f t="shared" si="2"/>
        <v>-1869.5</v>
      </c>
    </row>
    <row r="156" spans="1:5" x14ac:dyDescent="0.25">
      <c r="A156" s="29">
        <v>45394</v>
      </c>
      <c r="B156" s="27" t="s">
        <v>31</v>
      </c>
      <c r="C156" s="17">
        <f>100*2.5</f>
        <v>250</v>
      </c>
      <c r="D156" s="17"/>
      <c r="E156" s="28">
        <f t="shared" si="2"/>
        <v>-2119.5</v>
      </c>
    </row>
    <row r="157" spans="1:5" x14ac:dyDescent="0.25">
      <c r="A157" s="29">
        <v>45395</v>
      </c>
      <c r="B157" s="27" t="s">
        <v>51</v>
      </c>
      <c r="C157" s="17">
        <f>740*2.5</f>
        <v>1850</v>
      </c>
      <c r="D157" s="17"/>
      <c r="E157" s="28">
        <f t="shared" si="2"/>
        <v>-3969.5</v>
      </c>
    </row>
    <row r="158" spans="1:5" x14ac:dyDescent="0.25">
      <c r="A158" s="29">
        <v>45396</v>
      </c>
      <c r="B158" s="27" t="s">
        <v>31</v>
      </c>
      <c r="C158" s="17">
        <f>80*3</f>
        <v>240</v>
      </c>
      <c r="D158" s="17"/>
      <c r="E158" s="28">
        <f t="shared" si="2"/>
        <v>-4209.5</v>
      </c>
    </row>
    <row r="159" spans="1:5" x14ac:dyDescent="0.25">
      <c r="A159" s="29">
        <v>45396</v>
      </c>
      <c r="B159" s="27" t="s">
        <v>51</v>
      </c>
      <c r="C159" s="17">
        <f>840*2.5</f>
        <v>2100</v>
      </c>
      <c r="D159" s="17"/>
      <c r="E159" s="28">
        <f t="shared" si="2"/>
        <v>-6309.5</v>
      </c>
    </row>
    <row r="160" spans="1:5" x14ac:dyDescent="0.25">
      <c r="A160" s="29">
        <v>45398</v>
      </c>
      <c r="B160" s="27" t="s">
        <v>31</v>
      </c>
      <c r="C160" s="17">
        <f>500*2.5</f>
        <v>1250</v>
      </c>
      <c r="D160" s="17"/>
      <c r="E160" s="28">
        <f t="shared" si="2"/>
        <v>-7559.5</v>
      </c>
    </row>
    <row r="161" spans="1:5" x14ac:dyDescent="0.25">
      <c r="A161" s="29">
        <v>45399</v>
      </c>
      <c r="B161" s="27" t="s">
        <v>51</v>
      </c>
      <c r="C161" s="17">
        <f>840*2.5</f>
        <v>2100</v>
      </c>
      <c r="D161" s="17"/>
      <c r="E161" s="28">
        <f t="shared" si="2"/>
        <v>-9659.5</v>
      </c>
    </row>
    <row r="162" spans="1:5" x14ac:dyDescent="0.25">
      <c r="A162" s="29">
        <v>45400</v>
      </c>
      <c r="B162" s="27" t="s">
        <v>31</v>
      </c>
      <c r="C162" s="17">
        <f>180*2.5</f>
        <v>450</v>
      </c>
      <c r="D162" s="17"/>
      <c r="E162" s="28">
        <f t="shared" si="2"/>
        <v>-10109.5</v>
      </c>
    </row>
    <row r="163" spans="1:5" x14ac:dyDescent="0.25">
      <c r="A163" s="29">
        <v>45403</v>
      </c>
      <c r="B163" s="27" t="s">
        <v>31</v>
      </c>
      <c r="C163" s="17">
        <f>250</f>
        <v>250</v>
      </c>
      <c r="D163" s="17"/>
      <c r="E163" s="28">
        <f t="shared" si="2"/>
        <v>-10359.5</v>
      </c>
    </row>
    <row r="164" spans="1:5" x14ac:dyDescent="0.25">
      <c r="A164" s="29">
        <v>45404</v>
      </c>
      <c r="B164" s="27" t="s">
        <v>31</v>
      </c>
      <c r="C164" s="17">
        <f>100</f>
        <v>100</v>
      </c>
      <c r="D164" s="17"/>
      <c r="E164" s="28">
        <f t="shared" si="2"/>
        <v>-10459.5</v>
      </c>
    </row>
    <row r="165" spans="1:5" x14ac:dyDescent="0.25">
      <c r="A165" s="29">
        <v>45405</v>
      </c>
      <c r="B165" s="27" t="s">
        <v>31</v>
      </c>
      <c r="C165" s="17">
        <f>165*2.5</f>
        <v>412.5</v>
      </c>
      <c r="D165" s="17"/>
      <c r="E165" s="28">
        <f t="shared" si="2"/>
        <v>-10872</v>
      </c>
    </row>
    <row r="166" spans="1:5" x14ac:dyDescent="0.25">
      <c r="A166" s="29">
        <v>45406</v>
      </c>
      <c r="B166" s="27" t="s">
        <v>49</v>
      </c>
      <c r="C166" s="17"/>
      <c r="D166" s="17">
        <f>15000</f>
        <v>15000</v>
      </c>
      <c r="E166" s="28">
        <f t="shared" si="2"/>
        <v>4128</v>
      </c>
    </row>
    <row r="167" spans="1:5" x14ac:dyDescent="0.25">
      <c r="A167" s="29">
        <v>45407</v>
      </c>
      <c r="B167" s="27" t="s">
        <v>31</v>
      </c>
      <c r="C167" s="17">
        <f>185*2.5</f>
        <v>462.5</v>
      </c>
      <c r="D167" s="17"/>
      <c r="E167" s="28">
        <f t="shared" si="2"/>
        <v>3665.5</v>
      </c>
    </row>
    <row r="168" spans="1:5" x14ac:dyDescent="0.25">
      <c r="A168" s="29">
        <v>45409</v>
      </c>
      <c r="B168" s="27" t="s">
        <v>51</v>
      </c>
      <c r="C168" s="17">
        <f>540*2.5</f>
        <v>1350</v>
      </c>
      <c r="D168" s="17"/>
      <c r="E168" s="28">
        <f t="shared" si="2"/>
        <v>2315.5</v>
      </c>
    </row>
    <row r="169" spans="1:5" x14ac:dyDescent="0.25">
      <c r="A169" s="29">
        <v>45410</v>
      </c>
      <c r="B169" s="27" t="s">
        <v>31</v>
      </c>
      <c r="C169" s="17">
        <f>300</f>
        <v>300</v>
      </c>
      <c r="D169" s="17"/>
      <c r="E169" s="28">
        <f t="shared" si="2"/>
        <v>2015.5</v>
      </c>
    </row>
    <row r="170" spans="1:5" x14ac:dyDescent="0.25">
      <c r="A170" s="29">
        <v>45411</v>
      </c>
      <c r="B170" s="27" t="s">
        <v>31</v>
      </c>
      <c r="C170" s="17">
        <f>125*2.5</f>
        <v>312.5</v>
      </c>
      <c r="D170" s="17"/>
      <c r="E170" s="28">
        <f t="shared" si="2"/>
        <v>1703</v>
      </c>
    </row>
    <row r="171" spans="1:5" x14ac:dyDescent="0.25">
      <c r="A171" s="29">
        <v>45412</v>
      </c>
      <c r="B171" s="27" t="s">
        <v>31</v>
      </c>
      <c r="C171" s="17">
        <f>170*2.5</f>
        <v>425</v>
      </c>
      <c r="D171" s="17"/>
      <c r="E171" s="28">
        <f t="shared" si="2"/>
        <v>1278</v>
      </c>
    </row>
    <row r="172" spans="1:5" x14ac:dyDescent="0.25">
      <c r="A172" s="29">
        <v>45412</v>
      </c>
      <c r="B172" s="27" t="s">
        <v>111</v>
      </c>
      <c r="C172" s="17">
        <f>6*125</f>
        <v>750</v>
      </c>
      <c r="D172" s="17"/>
      <c r="E172" s="28">
        <f t="shared" si="2"/>
        <v>528</v>
      </c>
    </row>
    <row r="173" spans="1:5" x14ac:dyDescent="0.25">
      <c r="A173" s="29"/>
      <c r="B173" s="27"/>
      <c r="C173" s="17"/>
      <c r="D173" s="17"/>
      <c r="E173" s="28">
        <f t="shared" si="2"/>
        <v>528</v>
      </c>
    </row>
    <row r="174" spans="1:5" x14ac:dyDescent="0.25">
      <c r="A174" s="29">
        <v>45413</v>
      </c>
      <c r="B174" s="27" t="s">
        <v>31</v>
      </c>
      <c r="C174" s="17">
        <f>150*2.5</f>
        <v>375</v>
      </c>
      <c r="D174" s="17"/>
      <c r="E174" s="28">
        <f t="shared" si="2"/>
        <v>153</v>
      </c>
    </row>
    <row r="175" spans="1:5" x14ac:dyDescent="0.25">
      <c r="A175" s="29">
        <v>45415</v>
      </c>
      <c r="B175" s="27" t="s">
        <v>31</v>
      </c>
      <c r="C175" s="17">
        <f>185*2.5</f>
        <v>462.5</v>
      </c>
      <c r="D175" s="17"/>
      <c r="E175" s="28">
        <f t="shared" si="2"/>
        <v>-309.5</v>
      </c>
    </row>
    <row r="176" spans="1:5" x14ac:dyDescent="0.25">
      <c r="A176" s="29">
        <v>45416</v>
      </c>
      <c r="B176" s="27" t="s">
        <v>31</v>
      </c>
      <c r="C176" s="17">
        <f>375</f>
        <v>375</v>
      </c>
      <c r="D176" s="17"/>
      <c r="E176" s="28">
        <f t="shared" si="2"/>
        <v>-684.5</v>
      </c>
    </row>
    <row r="177" spans="1:5" x14ac:dyDescent="0.25">
      <c r="A177" s="29">
        <v>45418</v>
      </c>
      <c r="B177" s="27" t="s">
        <v>31</v>
      </c>
      <c r="C177" s="17">
        <f>250</f>
        <v>250</v>
      </c>
      <c r="D177" s="17"/>
      <c r="E177" s="28">
        <f t="shared" si="2"/>
        <v>-934.5</v>
      </c>
    </row>
    <row r="178" spans="1:5" x14ac:dyDescent="0.25">
      <c r="A178" s="29">
        <v>45420</v>
      </c>
      <c r="B178" s="27" t="s">
        <v>31</v>
      </c>
      <c r="C178" s="17">
        <f>250*2.5</f>
        <v>625</v>
      </c>
      <c r="D178" s="17"/>
      <c r="E178" s="28">
        <f t="shared" si="2"/>
        <v>-1559.5</v>
      </c>
    </row>
    <row r="179" spans="1:5" x14ac:dyDescent="0.25">
      <c r="A179" s="29">
        <v>45421</v>
      </c>
      <c r="B179" s="27" t="s">
        <v>31</v>
      </c>
      <c r="C179" s="17">
        <v>250</v>
      </c>
      <c r="D179" s="17"/>
      <c r="E179" s="28">
        <f t="shared" si="2"/>
        <v>-1809.5</v>
      </c>
    </row>
    <row r="180" spans="1:5" x14ac:dyDescent="0.25">
      <c r="A180" s="29">
        <v>45424</v>
      </c>
      <c r="B180" s="27" t="s">
        <v>51</v>
      </c>
      <c r="C180" s="17">
        <f>1760*2.5</f>
        <v>4400</v>
      </c>
      <c r="D180" s="17"/>
      <c r="E180" s="28">
        <f t="shared" si="2"/>
        <v>-6209.5</v>
      </c>
    </row>
    <row r="181" spans="1:5" x14ac:dyDescent="0.25">
      <c r="A181" s="29">
        <v>45424</v>
      </c>
      <c r="B181" s="27" t="s">
        <v>112</v>
      </c>
      <c r="C181" s="17"/>
      <c r="D181" s="17">
        <f>400</f>
        <v>400</v>
      </c>
      <c r="E181" s="28">
        <f t="shared" si="2"/>
        <v>-5809.5</v>
      </c>
    </row>
    <row r="182" spans="1:5" x14ac:dyDescent="0.25">
      <c r="A182" s="29">
        <v>45428</v>
      </c>
      <c r="B182" s="27" t="s">
        <v>49</v>
      </c>
      <c r="C182" s="17"/>
      <c r="D182" s="17">
        <f>10000</f>
        <v>10000</v>
      </c>
      <c r="E182" s="28">
        <f t="shared" si="2"/>
        <v>4190.5</v>
      </c>
    </row>
    <row r="183" spans="1:5" x14ac:dyDescent="0.25">
      <c r="A183" s="29">
        <v>45429</v>
      </c>
      <c r="B183" s="27" t="s">
        <v>31</v>
      </c>
      <c r="C183" s="17">
        <f>100*2.5</f>
        <v>250</v>
      </c>
      <c r="D183" s="17"/>
      <c r="E183" s="28">
        <f t="shared" si="2"/>
        <v>3940.5</v>
      </c>
    </row>
    <row r="184" spans="1:5" x14ac:dyDescent="0.25">
      <c r="A184" s="29">
        <v>45430</v>
      </c>
      <c r="B184" s="27" t="s">
        <v>31</v>
      </c>
      <c r="C184" s="17">
        <f>150*2.5</f>
        <v>375</v>
      </c>
      <c r="D184" s="17"/>
      <c r="E184" s="28">
        <f t="shared" si="2"/>
        <v>3565.5</v>
      </c>
    </row>
    <row r="185" spans="1:5" x14ac:dyDescent="0.25">
      <c r="A185" s="29">
        <v>45431</v>
      </c>
      <c r="B185" s="27" t="s">
        <v>31</v>
      </c>
      <c r="C185" s="17">
        <f>350*2.5</f>
        <v>875</v>
      </c>
      <c r="D185" s="17"/>
      <c r="E185" s="28">
        <f t="shared" si="2"/>
        <v>2690.5</v>
      </c>
    </row>
    <row r="186" spans="1:5" x14ac:dyDescent="0.25">
      <c r="A186" s="29">
        <v>45432</v>
      </c>
      <c r="B186" s="27" t="s">
        <v>31</v>
      </c>
      <c r="C186" s="17">
        <f>150*2.5</f>
        <v>375</v>
      </c>
      <c r="D186" s="17"/>
      <c r="E186" s="28">
        <f t="shared" si="2"/>
        <v>2315.5</v>
      </c>
    </row>
    <row r="187" spans="1:5" x14ac:dyDescent="0.25">
      <c r="A187" s="29">
        <v>45434</v>
      </c>
      <c r="B187" s="27" t="s">
        <v>31</v>
      </c>
      <c r="C187" s="17">
        <f>200*2.5</f>
        <v>500</v>
      </c>
      <c r="D187" s="17"/>
      <c r="E187" s="28">
        <f t="shared" si="2"/>
        <v>1815.5</v>
      </c>
    </row>
    <row r="188" spans="1:5" x14ac:dyDescent="0.25">
      <c r="A188" s="29">
        <v>45436</v>
      </c>
      <c r="B188" s="27" t="s">
        <v>31</v>
      </c>
      <c r="C188" s="17">
        <f>250</f>
        <v>250</v>
      </c>
      <c r="D188" s="17"/>
      <c r="E188" s="28">
        <f t="shared" si="2"/>
        <v>1565.5</v>
      </c>
    </row>
    <row r="189" spans="1:5" x14ac:dyDescent="0.25">
      <c r="A189" s="29">
        <v>45438</v>
      </c>
      <c r="B189" s="27" t="s">
        <v>51</v>
      </c>
      <c r="C189" s="17">
        <f>740*2.5</f>
        <v>1850</v>
      </c>
      <c r="D189" s="17"/>
      <c r="E189" s="28">
        <f t="shared" si="2"/>
        <v>-284.5</v>
      </c>
    </row>
    <row r="190" spans="1:5" x14ac:dyDescent="0.25">
      <c r="A190" s="29">
        <v>45438</v>
      </c>
      <c r="B190" s="27" t="s">
        <v>31</v>
      </c>
      <c r="C190" s="17">
        <f>200*2.5</f>
        <v>500</v>
      </c>
      <c r="D190" s="17"/>
      <c r="E190" s="28">
        <f t="shared" si="2"/>
        <v>-784.5</v>
      </c>
    </row>
    <row r="191" spans="1:5" x14ac:dyDescent="0.25">
      <c r="A191" s="29">
        <v>45439</v>
      </c>
      <c r="B191" s="27" t="s">
        <v>31</v>
      </c>
      <c r="C191" s="17">
        <f>200*2.5</f>
        <v>500</v>
      </c>
      <c r="D191" s="17"/>
      <c r="E191" s="28">
        <f t="shared" si="2"/>
        <v>-1284.5</v>
      </c>
    </row>
    <row r="192" spans="1:5" x14ac:dyDescent="0.25">
      <c r="A192" s="29">
        <v>45440</v>
      </c>
      <c r="B192" s="27" t="s">
        <v>31</v>
      </c>
      <c r="C192" s="17">
        <f>625</f>
        <v>625</v>
      </c>
      <c r="D192" s="17"/>
      <c r="E192" s="28">
        <f t="shared" si="2"/>
        <v>-1909.5</v>
      </c>
    </row>
    <row r="193" spans="1:7" x14ac:dyDescent="0.25">
      <c r="A193" s="29">
        <v>45441</v>
      </c>
      <c r="B193" s="27" t="s">
        <v>31</v>
      </c>
      <c r="C193" s="17">
        <f>625</f>
        <v>625</v>
      </c>
      <c r="D193" s="17"/>
      <c r="E193" s="28">
        <f t="shared" si="2"/>
        <v>-2534.5</v>
      </c>
    </row>
    <row r="194" spans="1:7" x14ac:dyDescent="0.25">
      <c r="A194" s="29">
        <v>45442</v>
      </c>
      <c r="B194" s="27" t="s">
        <v>31</v>
      </c>
      <c r="C194" s="17">
        <f>742*2.5</f>
        <v>1855</v>
      </c>
      <c r="D194" s="17"/>
      <c r="E194" s="28">
        <f t="shared" si="2"/>
        <v>-4389.5</v>
      </c>
      <c r="G194" s="64"/>
    </row>
    <row r="195" spans="1:7" x14ac:dyDescent="0.25">
      <c r="A195" s="29">
        <v>45443</v>
      </c>
      <c r="B195" s="27" t="s">
        <v>31</v>
      </c>
      <c r="C195" s="17">
        <f>26*2.5</f>
        <v>65</v>
      </c>
      <c r="D195" s="17"/>
      <c r="E195" s="28">
        <f t="shared" si="2"/>
        <v>-4454.5</v>
      </c>
    </row>
    <row r="196" spans="1:7" x14ac:dyDescent="0.25">
      <c r="A196" s="29"/>
      <c r="B196" s="27"/>
      <c r="C196" s="17"/>
      <c r="D196" s="17"/>
      <c r="E196" s="28">
        <f t="shared" si="2"/>
        <v>-4454.5</v>
      </c>
    </row>
    <row r="197" spans="1:7" x14ac:dyDescent="0.25">
      <c r="A197" s="29">
        <v>45444</v>
      </c>
      <c r="B197" s="27" t="s">
        <v>31</v>
      </c>
      <c r="C197" s="17">
        <f>110*2.5</f>
        <v>275</v>
      </c>
      <c r="D197" s="17"/>
      <c r="E197" s="28">
        <f t="shared" si="2"/>
        <v>-4729.5</v>
      </c>
    </row>
    <row r="198" spans="1:7" x14ac:dyDescent="0.25">
      <c r="A198" s="29">
        <v>45445</v>
      </c>
      <c r="B198" s="27" t="s">
        <v>31</v>
      </c>
      <c r="C198" s="17">
        <f>114*2.5</f>
        <v>285</v>
      </c>
      <c r="D198" s="17"/>
      <c r="E198" s="28">
        <f t="shared" ref="E198:E261" si="3">E197+D198-C198</f>
        <v>-5014.5</v>
      </c>
    </row>
    <row r="199" spans="1:7" x14ac:dyDescent="0.25">
      <c r="A199" s="29">
        <v>45446</v>
      </c>
      <c r="B199" s="27" t="s">
        <v>51</v>
      </c>
      <c r="C199" s="17">
        <f>740*2.5</f>
        <v>1850</v>
      </c>
      <c r="D199" s="17"/>
      <c r="E199" s="28">
        <f t="shared" si="3"/>
        <v>-6864.5</v>
      </c>
    </row>
    <row r="200" spans="1:7" x14ac:dyDescent="0.25">
      <c r="A200" s="29">
        <v>45454</v>
      </c>
      <c r="B200" s="27" t="s">
        <v>31</v>
      </c>
      <c r="C200" s="17">
        <f>287.5</f>
        <v>287.5</v>
      </c>
      <c r="D200" s="17"/>
      <c r="E200" s="28">
        <f t="shared" si="3"/>
        <v>-7152</v>
      </c>
    </row>
    <row r="201" spans="1:7" x14ac:dyDescent="0.25">
      <c r="A201" s="29">
        <v>45457</v>
      </c>
      <c r="B201" s="27" t="s">
        <v>31</v>
      </c>
      <c r="C201" s="17">
        <f>140*2.5</f>
        <v>350</v>
      </c>
      <c r="D201" s="17"/>
      <c r="E201" s="28">
        <f t="shared" si="3"/>
        <v>-7502</v>
      </c>
    </row>
    <row r="202" spans="1:7" x14ac:dyDescent="0.25">
      <c r="A202" s="29">
        <v>45461</v>
      </c>
      <c r="B202" s="27" t="s">
        <v>31</v>
      </c>
      <c r="C202" s="17">
        <f>42*2.5</f>
        <v>105</v>
      </c>
      <c r="D202" s="17"/>
      <c r="E202" s="28">
        <f t="shared" si="3"/>
        <v>-7607</v>
      </c>
    </row>
    <row r="203" spans="1:7" x14ac:dyDescent="0.25">
      <c r="A203" s="29">
        <v>45463</v>
      </c>
      <c r="B203" s="27" t="s">
        <v>49</v>
      </c>
      <c r="C203" s="17"/>
      <c r="D203" s="17">
        <f>10000</f>
        <v>10000</v>
      </c>
      <c r="E203" s="28">
        <f t="shared" si="3"/>
        <v>2393</v>
      </c>
    </row>
    <row r="204" spans="1:7" x14ac:dyDescent="0.25">
      <c r="A204" s="29">
        <v>45467</v>
      </c>
      <c r="B204" s="27" t="s">
        <v>31</v>
      </c>
      <c r="C204" s="17">
        <f>1000</f>
        <v>1000</v>
      </c>
      <c r="D204" s="17"/>
      <c r="E204" s="28">
        <f t="shared" si="3"/>
        <v>1393</v>
      </c>
    </row>
    <row r="205" spans="1:7" x14ac:dyDescent="0.25">
      <c r="A205" s="29">
        <v>45471</v>
      </c>
      <c r="B205" s="27" t="s">
        <v>31</v>
      </c>
      <c r="C205" s="17">
        <f>250</f>
        <v>250</v>
      </c>
      <c r="D205" s="17"/>
      <c r="E205" s="28">
        <f t="shared" si="3"/>
        <v>1143</v>
      </c>
    </row>
    <row r="206" spans="1:7" x14ac:dyDescent="0.25">
      <c r="A206" s="29">
        <v>45472</v>
      </c>
      <c r="B206" s="27" t="s">
        <v>31</v>
      </c>
      <c r="C206" s="17">
        <f>160*2.5</f>
        <v>400</v>
      </c>
      <c r="D206" s="17"/>
      <c r="E206" s="28">
        <f t="shared" si="3"/>
        <v>743</v>
      </c>
    </row>
    <row r="207" spans="1:7" x14ac:dyDescent="0.25">
      <c r="A207" s="29"/>
      <c r="B207" s="27"/>
      <c r="C207" s="17"/>
      <c r="D207" s="17"/>
      <c r="E207" s="28">
        <f t="shared" si="3"/>
        <v>743</v>
      </c>
    </row>
    <row r="208" spans="1:7" x14ac:dyDescent="0.25">
      <c r="A208" s="29">
        <v>45478</v>
      </c>
      <c r="B208" s="27" t="s">
        <v>51</v>
      </c>
      <c r="C208" s="17">
        <f>440*2.5</f>
        <v>1100</v>
      </c>
      <c r="D208" s="17"/>
      <c r="E208" s="28">
        <f t="shared" si="3"/>
        <v>-357</v>
      </c>
    </row>
    <row r="209" spans="1:5" x14ac:dyDescent="0.25">
      <c r="A209" s="29">
        <v>45479</v>
      </c>
      <c r="B209" s="27" t="s">
        <v>31</v>
      </c>
      <c r="C209" s="17">
        <f>250</f>
        <v>250</v>
      </c>
      <c r="D209" s="17"/>
      <c r="E209" s="28">
        <f t="shared" si="3"/>
        <v>-607</v>
      </c>
    </row>
    <row r="210" spans="1:5" x14ac:dyDescent="0.25">
      <c r="A210" s="29">
        <v>45481</v>
      </c>
      <c r="B210" s="27" t="s">
        <v>31</v>
      </c>
      <c r="C210" s="17">
        <f>250</f>
        <v>250</v>
      </c>
      <c r="D210" s="17"/>
      <c r="E210" s="28">
        <f t="shared" si="3"/>
        <v>-857</v>
      </c>
    </row>
    <row r="211" spans="1:5" x14ac:dyDescent="0.25">
      <c r="A211" s="29">
        <v>45486</v>
      </c>
      <c r="B211" s="27" t="s">
        <v>31</v>
      </c>
      <c r="C211" s="17">
        <f>150*2.5</f>
        <v>375</v>
      </c>
      <c r="D211" s="17"/>
      <c r="E211" s="28">
        <f t="shared" si="3"/>
        <v>-1232</v>
      </c>
    </row>
    <row r="212" spans="1:5" x14ac:dyDescent="0.25">
      <c r="A212" s="29">
        <v>45490</v>
      </c>
      <c r="B212" s="27" t="s">
        <v>31</v>
      </c>
      <c r="C212" s="17">
        <f>250</f>
        <v>250</v>
      </c>
      <c r="D212" s="17"/>
      <c r="E212" s="28">
        <f t="shared" si="3"/>
        <v>-1482</v>
      </c>
    </row>
    <row r="213" spans="1:5" x14ac:dyDescent="0.25">
      <c r="A213" s="29">
        <v>45494</v>
      </c>
      <c r="B213" s="27" t="s">
        <v>31</v>
      </c>
      <c r="C213" s="18">
        <f>100*2.5</f>
        <v>250</v>
      </c>
      <c r="D213" s="17"/>
      <c r="E213" s="28">
        <f t="shared" si="3"/>
        <v>-1732</v>
      </c>
    </row>
    <row r="214" spans="1:5" x14ac:dyDescent="0.25">
      <c r="A214" s="29">
        <v>45494</v>
      </c>
      <c r="B214" s="27" t="s">
        <v>51</v>
      </c>
      <c r="C214" s="18">
        <f>600*2.5</f>
        <v>1500</v>
      </c>
      <c r="D214" s="17"/>
      <c r="E214" s="28">
        <f t="shared" si="3"/>
        <v>-3232</v>
      </c>
    </row>
    <row r="215" spans="1:5" x14ac:dyDescent="0.25">
      <c r="A215" s="29">
        <v>45495</v>
      </c>
      <c r="B215" s="27" t="s">
        <v>31</v>
      </c>
      <c r="C215" s="18">
        <f>50*2.5</f>
        <v>125</v>
      </c>
      <c r="D215" s="17"/>
      <c r="E215" s="28">
        <f t="shared" si="3"/>
        <v>-3357</v>
      </c>
    </row>
    <row r="216" spans="1:5" x14ac:dyDescent="0.25">
      <c r="A216" s="29">
        <v>45497</v>
      </c>
      <c r="B216" s="27" t="s">
        <v>31</v>
      </c>
      <c r="C216" s="18">
        <f>400*2.5</f>
        <v>1000</v>
      </c>
      <c r="D216" s="17"/>
      <c r="E216" s="28">
        <f t="shared" si="3"/>
        <v>-4357</v>
      </c>
    </row>
    <row r="217" spans="1:5" x14ac:dyDescent="0.25">
      <c r="A217" s="29">
        <v>45502</v>
      </c>
      <c r="B217" s="27" t="s">
        <v>31</v>
      </c>
      <c r="C217" s="18">
        <f>150*2.5</f>
        <v>375</v>
      </c>
      <c r="D217" s="17"/>
      <c r="E217" s="28">
        <f t="shared" si="3"/>
        <v>-4732</v>
      </c>
    </row>
    <row r="218" spans="1:5" x14ac:dyDescent="0.25">
      <c r="A218" s="29">
        <v>45503</v>
      </c>
      <c r="B218" s="27" t="s">
        <v>31</v>
      </c>
      <c r="C218" s="18">
        <f>40*2.5</f>
        <v>100</v>
      </c>
      <c r="D218" s="17"/>
      <c r="E218" s="28">
        <f t="shared" si="3"/>
        <v>-4832</v>
      </c>
    </row>
    <row r="219" spans="1:5" x14ac:dyDescent="0.25">
      <c r="A219" s="29"/>
      <c r="B219" s="27"/>
      <c r="C219" s="18"/>
      <c r="D219" s="17"/>
      <c r="E219" s="28">
        <f t="shared" si="3"/>
        <v>-4832</v>
      </c>
    </row>
    <row r="220" spans="1:5" x14ac:dyDescent="0.25">
      <c r="A220" s="29">
        <v>45507</v>
      </c>
      <c r="B220" s="27" t="s">
        <v>51</v>
      </c>
      <c r="C220" s="18">
        <f>1425*2.5</f>
        <v>3562.5</v>
      </c>
      <c r="D220" s="17"/>
      <c r="E220" s="28">
        <f t="shared" si="3"/>
        <v>-8394.5</v>
      </c>
    </row>
    <row r="221" spans="1:5" x14ac:dyDescent="0.25">
      <c r="A221" s="29">
        <v>45508</v>
      </c>
      <c r="B221" s="27" t="s">
        <v>51</v>
      </c>
      <c r="C221" s="18">
        <f>640*2.5</f>
        <v>1600</v>
      </c>
      <c r="D221" s="17"/>
      <c r="E221" s="28">
        <f t="shared" si="3"/>
        <v>-9994.5</v>
      </c>
    </row>
    <row r="222" spans="1:5" x14ac:dyDescent="0.25">
      <c r="A222" s="29">
        <v>45509</v>
      </c>
      <c r="B222" s="27" t="s">
        <v>51</v>
      </c>
      <c r="C222" s="18">
        <f>500*2.5</f>
        <v>1250</v>
      </c>
      <c r="D222" s="17"/>
      <c r="E222" s="28">
        <f t="shared" si="3"/>
        <v>-11244.5</v>
      </c>
    </row>
    <row r="223" spans="1:5" x14ac:dyDescent="0.25">
      <c r="A223" s="29">
        <v>45479</v>
      </c>
      <c r="B223" s="27" t="s">
        <v>31</v>
      </c>
      <c r="C223" s="18">
        <f>160*2.5</f>
        <v>400</v>
      </c>
      <c r="D223" s="17"/>
      <c r="E223" s="28">
        <f t="shared" si="3"/>
        <v>-11644.5</v>
      </c>
    </row>
    <row r="224" spans="1:5" x14ac:dyDescent="0.25">
      <c r="A224" s="29">
        <v>45479</v>
      </c>
      <c r="B224" s="27" t="s">
        <v>49</v>
      </c>
      <c r="C224" s="18"/>
      <c r="D224" s="17">
        <f>15000</f>
        <v>15000</v>
      </c>
      <c r="E224" s="28">
        <f t="shared" si="3"/>
        <v>3355.5</v>
      </c>
    </row>
    <row r="225" spans="1:5" x14ac:dyDescent="0.25">
      <c r="A225" s="29">
        <v>45479</v>
      </c>
      <c r="B225" s="27" t="s">
        <v>31</v>
      </c>
      <c r="C225" s="18">
        <f>430*2.5</f>
        <v>1075</v>
      </c>
      <c r="D225" s="17"/>
      <c r="E225" s="28">
        <f t="shared" si="3"/>
        <v>2280.5</v>
      </c>
    </row>
    <row r="226" spans="1:5" x14ac:dyDescent="0.25">
      <c r="A226" s="29">
        <v>45512</v>
      </c>
      <c r="B226" s="27" t="s">
        <v>31</v>
      </c>
      <c r="C226" s="18">
        <f>250</f>
        <v>250</v>
      </c>
      <c r="D226" s="17"/>
      <c r="E226" s="28">
        <f t="shared" si="3"/>
        <v>2030.5</v>
      </c>
    </row>
    <row r="227" spans="1:5" x14ac:dyDescent="0.25">
      <c r="A227" s="29">
        <v>45513</v>
      </c>
      <c r="B227" s="27" t="s">
        <v>31</v>
      </c>
      <c r="C227" s="18">
        <f>250</f>
        <v>250</v>
      </c>
      <c r="D227" s="17"/>
      <c r="E227" s="28">
        <f t="shared" si="3"/>
        <v>1780.5</v>
      </c>
    </row>
    <row r="228" spans="1:5" x14ac:dyDescent="0.25">
      <c r="A228" s="29">
        <v>45518</v>
      </c>
      <c r="B228" s="27" t="s">
        <v>31</v>
      </c>
      <c r="C228" s="17">
        <f>300*2.5</f>
        <v>750</v>
      </c>
      <c r="D228" s="17"/>
      <c r="E228" s="28">
        <f t="shared" si="3"/>
        <v>1030.5</v>
      </c>
    </row>
    <row r="229" spans="1:5" x14ac:dyDescent="0.25">
      <c r="A229" s="29">
        <v>45520</v>
      </c>
      <c r="B229" s="27" t="s">
        <v>31</v>
      </c>
      <c r="C229" s="17">
        <f>100*2.5</f>
        <v>250</v>
      </c>
      <c r="D229" s="17"/>
      <c r="E229" s="28">
        <f t="shared" si="3"/>
        <v>780.5</v>
      </c>
    </row>
    <row r="230" spans="1:5" x14ac:dyDescent="0.25">
      <c r="A230" s="29">
        <v>45521</v>
      </c>
      <c r="B230" s="27" t="s">
        <v>51</v>
      </c>
      <c r="C230" s="17">
        <f>120*2.5</f>
        <v>300</v>
      </c>
      <c r="D230" s="17"/>
      <c r="E230" s="28">
        <f t="shared" si="3"/>
        <v>480.5</v>
      </c>
    </row>
    <row r="231" spans="1:5" x14ac:dyDescent="0.25">
      <c r="A231" s="29">
        <v>45521</v>
      </c>
      <c r="B231" s="27" t="s">
        <v>31</v>
      </c>
      <c r="C231" s="17">
        <f>130*2.5</f>
        <v>325</v>
      </c>
      <c r="D231" s="17"/>
      <c r="E231" s="28">
        <f t="shared" si="3"/>
        <v>155.5</v>
      </c>
    </row>
    <row r="232" spans="1:5" x14ac:dyDescent="0.25">
      <c r="A232" s="29">
        <v>45522</v>
      </c>
      <c r="B232" s="27" t="s">
        <v>31</v>
      </c>
      <c r="C232" s="17">
        <f>100*2.5</f>
        <v>250</v>
      </c>
      <c r="D232" s="17"/>
      <c r="E232" s="28">
        <f t="shared" si="3"/>
        <v>-94.5</v>
      </c>
    </row>
    <row r="233" spans="1:5" x14ac:dyDescent="0.25">
      <c r="A233" s="29">
        <v>45527</v>
      </c>
      <c r="B233" s="27" t="s">
        <v>31</v>
      </c>
      <c r="C233" s="17">
        <f>475*2.5</f>
        <v>1187.5</v>
      </c>
      <c r="D233" s="17"/>
      <c r="E233" s="28">
        <f t="shared" si="3"/>
        <v>-1282</v>
      </c>
    </row>
    <row r="234" spans="1:5" x14ac:dyDescent="0.25">
      <c r="A234" s="29">
        <v>45528</v>
      </c>
      <c r="B234" s="27" t="s">
        <v>31</v>
      </c>
      <c r="C234" s="17">
        <f>250</f>
        <v>250</v>
      </c>
      <c r="D234" s="17"/>
      <c r="E234" s="28">
        <f t="shared" si="3"/>
        <v>-1532</v>
      </c>
    </row>
    <row r="235" spans="1:5" x14ac:dyDescent="0.25">
      <c r="A235" s="29">
        <v>45529</v>
      </c>
      <c r="B235" s="27" t="s">
        <v>31</v>
      </c>
      <c r="C235" s="17">
        <f>150*2.5</f>
        <v>375</v>
      </c>
      <c r="D235" s="17"/>
      <c r="E235" s="28">
        <f t="shared" si="3"/>
        <v>-1907</v>
      </c>
    </row>
    <row r="236" spans="1:5" x14ac:dyDescent="0.25">
      <c r="A236" s="29">
        <v>45530</v>
      </c>
      <c r="B236" s="27" t="s">
        <v>31</v>
      </c>
      <c r="C236" s="17">
        <f>264*2.5</f>
        <v>660</v>
      </c>
      <c r="D236" s="17"/>
      <c r="E236" s="28">
        <f t="shared" si="3"/>
        <v>-2567</v>
      </c>
    </row>
    <row r="237" spans="1:5" x14ac:dyDescent="0.25">
      <c r="A237" s="29">
        <v>45532</v>
      </c>
      <c r="B237" s="27" t="s">
        <v>51</v>
      </c>
      <c r="C237" s="17">
        <f>690*2.5</f>
        <v>1725</v>
      </c>
      <c r="D237" s="17"/>
      <c r="E237" s="28">
        <f t="shared" si="3"/>
        <v>-4292</v>
      </c>
    </row>
    <row r="238" spans="1:5" x14ac:dyDescent="0.25">
      <c r="A238" s="29">
        <v>45534</v>
      </c>
      <c r="B238" s="27" t="s">
        <v>31</v>
      </c>
      <c r="C238" s="17">
        <f>150*2.5</f>
        <v>375</v>
      </c>
      <c r="D238" s="17"/>
      <c r="E238" s="28">
        <f t="shared" si="3"/>
        <v>-4667</v>
      </c>
    </row>
    <row r="239" spans="1:5" x14ac:dyDescent="0.25">
      <c r="A239" s="29"/>
      <c r="B239" s="27"/>
      <c r="C239" s="17"/>
      <c r="D239" s="17"/>
      <c r="E239" s="28">
        <f t="shared" si="3"/>
        <v>-4667</v>
      </c>
    </row>
    <row r="240" spans="1:5" x14ac:dyDescent="0.25">
      <c r="A240" s="29">
        <v>45537</v>
      </c>
      <c r="B240" s="27" t="s">
        <v>31</v>
      </c>
      <c r="C240" s="17">
        <f>425*2.5</f>
        <v>1062.5</v>
      </c>
      <c r="D240" s="17"/>
      <c r="E240" s="28">
        <f t="shared" si="3"/>
        <v>-5729.5</v>
      </c>
    </row>
    <row r="241" spans="1:5" x14ac:dyDescent="0.25">
      <c r="A241" s="29">
        <v>45538</v>
      </c>
      <c r="B241" s="27" t="s">
        <v>31</v>
      </c>
      <c r="C241" s="17">
        <f>180*2.5</f>
        <v>450</v>
      </c>
      <c r="D241" s="17"/>
      <c r="E241" s="28">
        <f t="shared" si="3"/>
        <v>-6179.5</v>
      </c>
    </row>
    <row r="242" spans="1:5" x14ac:dyDescent="0.25">
      <c r="A242" s="29">
        <v>45539</v>
      </c>
      <c r="B242" s="27" t="s">
        <v>31</v>
      </c>
      <c r="C242" s="17">
        <f>150*2.5</f>
        <v>375</v>
      </c>
      <c r="D242" s="17"/>
      <c r="E242" s="28">
        <f t="shared" si="3"/>
        <v>-6554.5</v>
      </c>
    </row>
    <row r="243" spans="1:5" x14ac:dyDescent="0.25">
      <c r="A243" s="29">
        <v>45541</v>
      </c>
      <c r="B243" s="27" t="s">
        <v>49</v>
      </c>
      <c r="C243" s="17"/>
      <c r="D243" s="17">
        <f>5000</f>
        <v>5000</v>
      </c>
      <c r="E243" s="28">
        <f t="shared" si="3"/>
        <v>-1554.5</v>
      </c>
    </row>
    <row r="244" spans="1:5" x14ac:dyDescent="0.25">
      <c r="A244" s="29">
        <v>45541</v>
      </c>
      <c r="B244" s="27" t="s">
        <v>51</v>
      </c>
      <c r="C244" s="17">
        <f>720*2.5</f>
        <v>1800</v>
      </c>
      <c r="D244" s="17"/>
      <c r="E244" s="28">
        <f t="shared" si="3"/>
        <v>-3354.5</v>
      </c>
    </row>
    <row r="245" spans="1:5" x14ac:dyDescent="0.25">
      <c r="A245" s="29">
        <v>45542</v>
      </c>
      <c r="B245" s="27" t="s">
        <v>31</v>
      </c>
      <c r="C245" s="17">
        <f>300*2.5</f>
        <v>750</v>
      </c>
      <c r="D245" s="17"/>
      <c r="E245" s="28">
        <f t="shared" si="3"/>
        <v>-4104.5</v>
      </c>
    </row>
    <row r="246" spans="1:5" x14ac:dyDescent="0.25">
      <c r="A246" s="29">
        <v>45543</v>
      </c>
      <c r="B246" s="27" t="s">
        <v>51</v>
      </c>
      <c r="C246" s="17">
        <f>740*2.5</f>
        <v>1850</v>
      </c>
      <c r="D246" s="17"/>
      <c r="E246" s="28">
        <f t="shared" si="3"/>
        <v>-5954.5</v>
      </c>
    </row>
    <row r="247" spans="1:5" x14ac:dyDescent="0.25">
      <c r="A247" s="29">
        <v>45543</v>
      </c>
      <c r="B247" s="27" t="s">
        <v>31</v>
      </c>
      <c r="C247" s="17">
        <f>50*2.5</f>
        <v>125</v>
      </c>
      <c r="D247" s="17"/>
      <c r="E247" s="28">
        <f t="shared" si="3"/>
        <v>-6079.5</v>
      </c>
    </row>
    <row r="248" spans="1:5" x14ac:dyDescent="0.25">
      <c r="A248" s="29">
        <v>45574</v>
      </c>
      <c r="B248" s="27" t="s">
        <v>31</v>
      </c>
      <c r="C248" s="17">
        <f>475*2.5</f>
        <v>1187.5</v>
      </c>
      <c r="D248" s="17"/>
      <c r="E248" s="28">
        <f t="shared" si="3"/>
        <v>-7267</v>
      </c>
    </row>
    <row r="249" spans="1:5" x14ac:dyDescent="0.25">
      <c r="A249" s="29">
        <v>45545</v>
      </c>
      <c r="B249" s="27" t="s">
        <v>31</v>
      </c>
      <c r="C249" s="17">
        <f>720*2.5</f>
        <v>1800</v>
      </c>
      <c r="D249" s="17"/>
      <c r="E249" s="28">
        <f t="shared" si="3"/>
        <v>-9067</v>
      </c>
    </row>
    <row r="250" spans="1:5" x14ac:dyDescent="0.25">
      <c r="A250" s="29">
        <v>45546</v>
      </c>
      <c r="B250" s="27" t="s">
        <v>31</v>
      </c>
      <c r="C250" s="17">
        <f>500*2.5</f>
        <v>1250</v>
      </c>
      <c r="D250" s="17"/>
      <c r="E250" s="28">
        <f t="shared" si="3"/>
        <v>-10317</v>
      </c>
    </row>
    <row r="251" spans="1:5" x14ac:dyDescent="0.25">
      <c r="A251" s="29">
        <v>45547</v>
      </c>
      <c r="B251" s="27" t="s">
        <v>51</v>
      </c>
      <c r="C251" s="17">
        <f>160*2.5</f>
        <v>400</v>
      </c>
      <c r="D251" s="17"/>
      <c r="E251" s="28">
        <f t="shared" si="3"/>
        <v>-10717</v>
      </c>
    </row>
    <row r="252" spans="1:5" x14ac:dyDescent="0.25">
      <c r="A252" s="29">
        <v>45547</v>
      </c>
      <c r="B252" s="27" t="s">
        <v>113</v>
      </c>
      <c r="C252" s="17"/>
      <c r="D252" s="17">
        <v>5500</v>
      </c>
      <c r="E252" s="28">
        <f t="shared" si="3"/>
        <v>-5217</v>
      </c>
    </row>
    <row r="253" spans="1:5" x14ac:dyDescent="0.25">
      <c r="A253" s="29">
        <v>45548</v>
      </c>
      <c r="B253" s="27" t="s">
        <v>49</v>
      </c>
      <c r="C253" s="17"/>
      <c r="D253" s="17">
        <f>5000</f>
        <v>5000</v>
      </c>
      <c r="E253" s="28">
        <f t="shared" si="3"/>
        <v>-217</v>
      </c>
    </row>
    <row r="254" spans="1:5" x14ac:dyDescent="0.25">
      <c r="A254" s="29">
        <v>45549</v>
      </c>
      <c r="B254" s="27" t="s">
        <v>31</v>
      </c>
      <c r="C254" s="17">
        <f>100*2.5</f>
        <v>250</v>
      </c>
      <c r="D254" s="17"/>
      <c r="E254" s="28">
        <f t="shared" si="3"/>
        <v>-467</v>
      </c>
    </row>
    <row r="255" spans="1:5" x14ac:dyDescent="0.25">
      <c r="A255" s="29">
        <v>45550</v>
      </c>
      <c r="B255" s="27" t="s">
        <v>31</v>
      </c>
      <c r="C255" s="17">
        <f>100*2.5</f>
        <v>250</v>
      </c>
      <c r="D255" s="17"/>
      <c r="E255" s="28">
        <f t="shared" si="3"/>
        <v>-717</v>
      </c>
    </row>
    <row r="256" spans="1:5" x14ac:dyDescent="0.25">
      <c r="A256" s="29">
        <v>45551</v>
      </c>
      <c r="B256" s="27" t="s">
        <v>51</v>
      </c>
      <c r="C256" s="17">
        <f>350*2.5</f>
        <v>875</v>
      </c>
      <c r="D256" s="17"/>
      <c r="E256" s="28">
        <f t="shared" si="3"/>
        <v>-1592</v>
      </c>
    </row>
    <row r="257" spans="1:5" x14ac:dyDescent="0.25">
      <c r="A257" s="29">
        <v>45551</v>
      </c>
      <c r="B257" s="27" t="s">
        <v>31</v>
      </c>
      <c r="C257" s="17">
        <f>100*2.5</f>
        <v>250</v>
      </c>
      <c r="D257" s="17"/>
      <c r="E257" s="28">
        <f t="shared" si="3"/>
        <v>-1842</v>
      </c>
    </row>
    <row r="258" spans="1:5" x14ac:dyDescent="0.25">
      <c r="A258" s="29">
        <v>45554</v>
      </c>
      <c r="B258" s="27" t="s">
        <v>51</v>
      </c>
      <c r="C258" s="17">
        <f>150*2.5</f>
        <v>375</v>
      </c>
      <c r="D258" s="17"/>
      <c r="E258" s="28">
        <f t="shared" si="3"/>
        <v>-2217</v>
      </c>
    </row>
    <row r="259" spans="1:5" x14ac:dyDescent="0.25">
      <c r="A259" s="29">
        <v>45555</v>
      </c>
      <c r="B259" s="27" t="s">
        <v>31</v>
      </c>
      <c r="C259" s="17">
        <f>270*2.5</f>
        <v>675</v>
      </c>
      <c r="D259" s="17"/>
      <c r="E259" s="28">
        <f t="shared" si="3"/>
        <v>-2892</v>
      </c>
    </row>
    <row r="260" spans="1:5" x14ac:dyDescent="0.25">
      <c r="A260" s="29">
        <v>45556</v>
      </c>
      <c r="B260" s="27" t="s">
        <v>31</v>
      </c>
      <c r="C260" s="17">
        <f>375</f>
        <v>375</v>
      </c>
      <c r="D260" s="17"/>
      <c r="E260" s="28">
        <f t="shared" si="3"/>
        <v>-3267</v>
      </c>
    </row>
    <row r="261" spans="1:5" x14ac:dyDescent="0.25">
      <c r="A261" s="29">
        <v>45557</v>
      </c>
      <c r="B261" s="27" t="s">
        <v>31</v>
      </c>
      <c r="C261" s="17">
        <f>200*2.5</f>
        <v>500</v>
      </c>
      <c r="D261" s="17"/>
      <c r="E261" s="28">
        <f t="shared" si="3"/>
        <v>-3767</v>
      </c>
    </row>
    <row r="262" spans="1:5" x14ac:dyDescent="0.25">
      <c r="A262" s="29">
        <v>45560</v>
      </c>
      <c r="B262" s="27" t="s">
        <v>49</v>
      </c>
      <c r="C262" s="17"/>
      <c r="D262" s="17">
        <f>5000</f>
        <v>5000</v>
      </c>
      <c r="E262" s="28">
        <f t="shared" ref="E262:E325" si="4">E261+D262-C262</f>
        <v>1233</v>
      </c>
    </row>
    <row r="263" spans="1:5" x14ac:dyDescent="0.25">
      <c r="A263" s="29">
        <v>45560</v>
      </c>
      <c r="B263" s="27" t="s">
        <v>31</v>
      </c>
      <c r="C263" s="17">
        <f>375*2.5</f>
        <v>937.5</v>
      </c>
      <c r="D263" s="17"/>
      <c r="E263" s="28">
        <f t="shared" si="4"/>
        <v>295.5</v>
      </c>
    </row>
    <row r="264" spans="1:5" x14ac:dyDescent="0.25">
      <c r="A264" s="29">
        <v>45561</v>
      </c>
      <c r="B264" s="27" t="s">
        <v>51</v>
      </c>
      <c r="C264" s="17">
        <f>840*2.5</f>
        <v>2100</v>
      </c>
      <c r="D264" s="17"/>
      <c r="E264" s="28">
        <f t="shared" si="4"/>
        <v>-1804.5</v>
      </c>
    </row>
    <row r="265" spans="1:5" x14ac:dyDescent="0.25">
      <c r="A265" s="29">
        <v>45561</v>
      </c>
      <c r="B265" s="27" t="s">
        <v>31</v>
      </c>
      <c r="C265" s="17">
        <f>250</f>
        <v>250</v>
      </c>
      <c r="D265" s="17"/>
      <c r="E265" s="28">
        <f t="shared" si="4"/>
        <v>-2054.5</v>
      </c>
    </row>
    <row r="266" spans="1:5" x14ac:dyDescent="0.25">
      <c r="A266" s="29">
        <v>45562</v>
      </c>
      <c r="B266" s="27" t="s">
        <v>31</v>
      </c>
      <c r="C266" s="17">
        <f>150*2.5</f>
        <v>375</v>
      </c>
      <c r="D266" s="17"/>
      <c r="E266" s="28">
        <f t="shared" si="4"/>
        <v>-2429.5</v>
      </c>
    </row>
    <row r="267" spans="1:5" x14ac:dyDescent="0.25">
      <c r="A267" s="29">
        <v>45563</v>
      </c>
      <c r="B267" s="27" t="s">
        <v>31</v>
      </c>
      <c r="C267" s="17">
        <f>30*2.5</f>
        <v>75</v>
      </c>
      <c r="D267" s="17"/>
      <c r="E267" s="28">
        <f t="shared" si="4"/>
        <v>-2504.5</v>
      </c>
    </row>
    <row r="268" spans="1:5" x14ac:dyDescent="0.25">
      <c r="A268" s="29">
        <v>45564</v>
      </c>
      <c r="B268" s="27" t="s">
        <v>31</v>
      </c>
      <c r="C268" s="17">
        <f>150*2.5</f>
        <v>375</v>
      </c>
      <c r="D268" s="17"/>
      <c r="E268" s="28">
        <f t="shared" si="4"/>
        <v>-2879.5</v>
      </c>
    </row>
    <row r="269" spans="1:5" x14ac:dyDescent="0.25">
      <c r="A269" s="29">
        <v>45565</v>
      </c>
      <c r="B269" s="27" t="s">
        <v>31</v>
      </c>
      <c r="C269" s="17">
        <f>650*2.5</f>
        <v>1625</v>
      </c>
      <c r="D269" s="17"/>
      <c r="E269" s="28">
        <f t="shared" si="4"/>
        <v>-4504.5</v>
      </c>
    </row>
    <row r="270" spans="1:5" x14ac:dyDescent="0.25">
      <c r="A270" s="29"/>
      <c r="B270" s="27"/>
      <c r="C270" s="17"/>
      <c r="D270" s="17"/>
      <c r="E270" s="28">
        <f t="shared" si="4"/>
        <v>-4504.5</v>
      </c>
    </row>
    <row r="271" spans="1:5" x14ac:dyDescent="0.25">
      <c r="A271" s="29">
        <v>45566</v>
      </c>
      <c r="B271" s="27" t="s">
        <v>51</v>
      </c>
      <c r="C271" s="17">
        <f>450*2.5</f>
        <v>1125</v>
      </c>
      <c r="D271" s="17"/>
      <c r="E271" s="28">
        <f t="shared" si="4"/>
        <v>-5629.5</v>
      </c>
    </row>
    <row r="272" spans="1:5" x14ac:dyDescent="0.25">
      <c r="A272" s="29">
        <v>45568</v>
      </c>
      <c r="B272" s="27" t="s">
        <v>31</v>
      </c>
      <c r="C272" s="17">
        <f>325*2.5</f>
        <v>812.5</v>
      </c>
      <c r="D272" s="17"/>
      <c r="E272" s="28">
        <f t="shared" si="4"/>
        <v>-6442</v>
      </c>
    </row>
    <row r="273" spans="1:5" x14ac:dyDescent="0.25">
      <c r="A273" s="29">
        <v>45571</v>
      </c>
      <c r="B273" s="27" t="s">
        <v>51</v>
      </c>
      <c r="C273" s="17">
        <f>100*2.5</f>
        <v>250</v>
      </c>
      <c r="D273" s="17"/>
      <c r="E273" s="28">
        <f t="shared" si="4"/>
        <v>-6692</v>
      </c>
    </row>
    <row r="274" spans="1:5" x14ac:dyDescent="0.25">
      <c r="A274" s="29">
        <v>45571</v>
      </c>
      <c r="B274" s="27" t="s">
        <v>31</v>
      </c>
      <c r="C274" s="17">
        <f>170*2.5</f>
        <v>425</v>
      </c>
      <c r="D274" s="17"/>
      <c r="E274" s="28">
        <f t="shared" si="4"/>
        <v>-7117</v>
      </c>
    </row>
    <row r="275" spans="1:5" x14ac:dyDescent="0.25">
      <c r="A275" s="29">
        <v>45572</v>
      </c>
      <c r="B275" s="27" t="s">
        <v>113</v>
      </c>
      <c r="C275" s="17"/>
      <c r="D275" s="17">
        <f>6000</f>
        <v>6000</v>
      </c>
      <c r="E275" s="28">
        <f t="shared" si="4"/>
        <v>-1117</v>
      </c>
    </row>
    <row r="276" spans="1:5" x14ac:dyDescent="0.25">
      <c r="A276" s="29">
        <v>45572</v>
      </c>
      <c r="B276" s="27" t="s">
        <v>31</v>
      </c>
      <c r="C276" s="17">
        <f>313*2.5</f>
        <v>782.5</v>
      </c>
      <c r="D276" s="17"/>
      <c r="E276" s="28">
        <f t="shared" si="4"/>
        <v>-1899.5</v>
      </c>
    </row>
    <row r="277" spans="1:5" x14ac:dyDescent="0.25">
      <c r="A277" s="29">
        <v>45573</v>
      </c>
      <c r="B277" s="27" t="s">
        <v>31</v>
      </c>
      <c r="C277" s="17">
        <f>125*2.5</f>
        <v>312.5</v>
      </c>
      <c r="D277" s="17"/>
      <c r="E277" s="28">
        <f t="shared" si="4"/>
        <v>-2212</v>
      </c>
    </row>
    <row r="278" spans="1:5" x14ac:dyDescent="0.25">
      <c r="A278" s="29">
        <v>45574</v>
      </c>
      <c r="B278" s="27" t="s">
        <v>51</v>
      </c>
      <c r="C278" s="17">
        <f>340*2.5</f>
        <v>850</v>
      </c>
      <c r="D278" s="17"/>
      <c r="E278" s="28">
        <f t="shared" si="4"/>
        <v>-3062</v>
      </c>
    </row>
    <row r="279" spans="1:5" x14ac:dyDescent="0.25">
      <c r="A279" s="29">
        <v>45574</v>
      </c>
      <c r="B279" s="27" t="s">
        <v>31</v>
      </c>
      <c r="C279" s="17">
        <f>187*2.5</f>
        <v>467.5</v>
      </c>
      <c r="D279" s="17"/>
      <c r="E279" s="28">
        <f t="shared" si="4"/>
        <v>-3529.5</v>
      </c>
    </row>
    <row r="280" spans="1:5" x14ac:dyDescent="0.25">
      <c r="A280" s="29">
        <v>45576</v>
      </c>
      <c r="B280" s="27" t="s">
        <v>51</v>
      </c>
      <c r="C280" s="17">
        <f>200*2.5</f>
        <v>500</v>
      </c>
      <c r="D280" s="17"/>
      <c r="E280" s="28">
        <f t="shared" si="4"/>
        <v>-4029.5</v>
      </c>
    </row>
    <row r="281" spans="1:5" x14ac:dyDescent="0.25">
      <c r="A281" s="29">
        <v>45576</v>
      </c>
      <c r="B281" s="27" t="s">
        <v>31</v>
      </c>
      <c r="C281" s="17">
        <f>50*2.5</f>
        <v>125</v>
      </c>
      <c r="D281" s="17"/>
      <c r="E281" s="28">
        <f t="shared" si="4"/>
        <v>-4154.5</v>
      </c>
    </row>
    <row r="282" spans="1:5" x14ac:dyDescent="0.25">
      <c r="A282" s="29">
        <v>45576</v>
      </c>
      <c r="B282" s="27" t="s">
        <v>51</v>
      </c>
      <c r="C282" s="17">
        <f>740*2.5</f>
        <v>1850</v>
      </c>
      <c r="D282" s="17"/>
      <c r="E282" s="28">
        <f t="shared" si="4"/>
        <v>-6004.5</v>
      </c>
    </row>
    <row r="283" spans="1:5" x14ac:dyDescent="0.25">
      <c r="A283" s="29">
        <v>45577</v>
      </c>
      <c r="B283" s="27" t="s">
        <v>31</v>
      </c>
      <c r="C283" s="17">
        <f>110*2.5</f>
        <v>275</v>
      </c>
      <c r="D283" s="17"/>
      <c r="E283" s="28">
        <f t="shared" si="4"/>
        <v>-6279.5</v>
      </c>
    </row>
    <row r="284" spans="1:5" x14ac:dyDescent="0.25">
      <c r="A284" s="29">
        <v>45578</v>
      </c>
      <c r="B284" s="27" t="s">
        <v>31</v>
      </c>
      <c r="C284" s="17">
        <f>150*2.5</f>
        <v>375</v>
      </c>
      <c r="D284" s="17"/>
      <c r="E284" s="28">
        <f t="shared" si="4"/>
        <v>-6654.5</v>
      </c>
    </row>
    <row r="285" spans="1:5" x14ac:dyDescent="0.25">
      <c r="A285" s="29">
        <v>45579</v>
      </c>
      <c r="B285" s="27" t="s">
        <v>31</v>
      </c>
      <c r="C285" s="17">
        <f>150*2.5</f>
        <v>375</v>
      </c>
      <c r="D285" s="17"/>
      <c r="E285" s="28">
        <f t="shared" si="4"/>
        <v>-7029.5</v>
      </c>
    </row>
    <row r="286" spans="1:5" x14ac:dyDescent="0.25">
      <c r="A286" s="29">
        <v>45580</v>
      </c>
      <c r="B286" s="27" t="s">
        <v>31</v>
      </c>
      <c r="C286" s="17">
        <f>120*2.5</f>
        <v>300</v>
      </c>
      <c r="D286" s="17"/>
      <c r="E286" s="28">
        <f t="shared" si="4"/>
        <v>-7329.5</v>
      </c>
    </row>
    <row r="287" spans="1:5" x14ac:dyDescent="0.25">
      <c r="A287" s="29">
        <v>45581</v>
      </c>
      <c r="B287" s="27" t="s">
        <v>31</v>
      </c>
      <c r="C287" s="17">
        <f>673*2.5</f>
        <v>1682.5</v>
      </c>
      <c r="D287" s="17"/>
      <c r="E287" s="28">
        <f t="shared" si="4"/>
        <v>-9012</v>
      </c>
    </row>
    <row r="288" spans="1:5" x14ac:dyDescent="0.25">
      <c r="A288" s="29">
        <v>45581</v>
      </c>
      <c r="B288" s="27" t="s">
        <v>49</v>
      </c>
      <c r="C288" s="17"/>
      <c r="D288" s="17">
        <f>10000</f>
        <v>10000</v>
      </c>
      <c r="E288" s="28">
        <f t="shared" si="4"/>
        <v>988</v>
      </c>
    </row>
    <row r="289" spans="1:5" x14ac:dyDescent="0.25">
      <c r="A289" s="29">
        <v>45583</v>
      </c>
      <c r="B289" s="27" t="s">
        <v>51</v>
      </c>
      <c r="C289" s="17">
        <f>2170*2.5</f>
        <v>5425</v>
      </c>
      <c r="D289" s="17"/>
      <c r="E289" s="28">
        <f t="shared" si="4"/>
        <v>-4437</v>
      </c>
    </row>
    <row r="290" spans="1:5" x14ac:dyDescent="0.25">
      <c r="A290" s="29">
        <v>45584</v>
      </c>
      <c r="B290" s="27" t="s">
        <v>31</v>
      </c>
      <c r="C290" s="17">
        <f>80*2.5</f>
        <v>200</v>
      </c>
      <c r="D290" s="17"/>
      <c r="E290" s="28">
        <f t="shared" si="4"/>
        <v>-4637</v>
      </c>
    </row>
    <row r="291" spans="1:5" x14ac:dyDescent="0.25">
      <c r="A291" s="29">
        <v>45585</v>
      </c>
      <c r="B291" s="27" t="s">
        <v>31</v>
      </c>
      <c r="C291" s="17">
        <f>250</f>
        <v>250</v>
      </c>
      <c r="D291" s="17"/>
      <c r="E291" s="28">
        <f t="shared" si="4"/>
        <v>-4887</v>
      </c>
    </row>
    <row r="292" spans="1:5" x14ac:dyDescent="0.25">
      <c r="A292" s="29">
        <v>45586</v>
      </c>
      <c r="B292" s="27" t="s">
        <v>31</v>
      </c>
      <c r="C292" s="17">
        <f>230*2.5</f>
        <v>575</v>
      </c>
      <c r="D292" s="17"/>
      <c r="E292" s="28">
        <f t="shared" si="4"/>
        <v>-5462</v>
      </c>
    </row>
    <row r="293" spans="1:5" x14ac:dyDescent="0.25">
      <c r="A293" s="29">
        <v>45587</v>
      </c>
      <c r="B293" s="27" t="s">
        <v>31</v>
      </c>
      <c r="C293" s="17">
        <f>100*2.5</f>
        <v>250</v>
      </c>
      <c r="D293" s="17"/>
      <c r="E293" s="28">
        <f t="shared" si="4"/>
        <v>-5712</v>
      </c>
    </row>
    <row r="294" spans="1:5" x14ac:dyDescent="0.25">
      <c r="A294" s="29">
        <v>45589</v>
      </c>
      <c r="B294" s="27" t="s">
        <v>31</v>
      </c>
      <c r="C294" s="17">
        <f>490*2.5</f>
        <v>1225</v>
      </c>
      <c r="D294" s="17"/>
      <c r="E294" s="28">
        <f t="shared" si="4"/>
        <v>-6937</v>
      </c>
    </row>
    <row r="295" spans="1:5" x14ac:dyDescent="0.25">
      <c r="A295" s="29">
        <v>45590</v>
      </c>
      <c r="B295" s="27" t="s">
        <v>31</v>
      </c>
      <c r="C295" s="17">
        <f>200*2.5</f>
        <v>500</v>
      </c>
      <c r="D295" s="17"/>
      <c r="E295" s="28">
        <f t="shared" si="4"/>
        <v>-7437</v>
      </c>
    </row>
    <row r="296" spans="1:5" x14ac:dyDescent="0.25">
      <c r="A296" s="29">
        <v>45591</v>
      </c>
      <c r="B296" s="27" t="s">
        <v>31</v>
      </c>
      <c r="C296" s="17">
        <f>670*2.5</f>
        <v>1675</v>
      </c>
      <c r="D296" s="17"/>
      <c r="E296" s="28">
        <f t="shared" si="4"/>
        <v>-9112</v>
      </c>
    </row>
    <row r="297" spans="1:5" x14ac:dyDescent="0.25">
      <c r="A297" s="29">
        <v>45592</v>
      </c>
      <c r="B297" s="27" t="s">
        <v>31</v>
      </c>
      <c r="C297" s="17">
        <f>160*2.5</f>
        <v>400</v>
      </c>
      <c r="D297" s="17"/>
      <c r="E297" s="28">
        <f t="shared" si="4"/>
        <v>-9512</v>
      </c>
    </row>
    <row r="298" spans="1:5" x14ac:dyDescent="0.25">
      <c r="A298" s="29">
        <v>45593</v>
      </c>
      <c r="B298" s="27" t="s">
        <v>31</v>
      </c>
      <c r="C298" s="17">
        <f>400*2.5</f>
        <v>1000</v>
      </c>
      <c r="D298" s="17"/>
      <c r="E298" s="28">
        <f t="shared" si="4"/>
        <v>-10512</v>
      </c>
    </row>
    <row r="299" spans="1:5" x14ac:dyDescent="0.25">
      <c r="A299" s="29">
        <v>45594</v>
      </c>
      <c r="B299" s="27" t="s">
        <v>31</v>
      </c>
      <c r="C299" s="17">
        <f>518*2.5</f>
        <v>1295</v>
      </c>
      <c r="D299" s="17"/>
      <c r="E299" s="28">
        <f t="shared" si="4"/>
        <v>-11807</v>
      </c>
    </row>
    <row r="300" spans="1:5" x14ac:dyDescent="0.25">
      <c r="A300" s="29">
        <v>45596</v>
      </c>
      <c r="B300" s="27" t="s">
        <v>114</v>
      </c>
      <c r="C300" s="17">
        <f>1840</f>
        <v>1840</v>
      </c>
      <c r="D300" s="17"/>
      <c r="E300" s="28">
        <f t="shared" si="4"/>
        <v>-13647</v>
      </c>
    </row>
    <row r="301" spans="1:5" x14ac:dyDescent="0.25">
      <c r="A301" s="29">
        <v>45596</v>
      </c>
      <c r="B301" s="27" t="s">
        <v>31</v>
      </c>
      <c r="C301" s="17">
        <f>375</f>
        <v>375</v>
      </c>
      <c r="D301" s="17"/>
      <c r="E301" s="28">
        <f t="shared" si="4"/>
        <v>-14022</v>
      </c>
    </row>
    <row r="302" spans="1:5" x14ac:dyDescent="0.25">
      <c r="A302" s="29"/>
      <c r="B302" s="27"/>
      <c r="C302" s="17"/>
      <c r="D302" s="17"/>
      <c r="E302" s="28">
        <f t="shared" si="4"/>
        <v>-14022</v>
      </c>
    </row>
    <row r="303" spans="1:5" x14ac:dyDescent="0.25">
      <c r="A303" s="29">
        <v>45598</v>
      </c>
      <c r="B303" s="27" t="s">
        <v>31</v>
      </c>
      <c r="C303" s="17">
        <f>250</f>
        <v>250</v>
      </c>
      <c r="D303" s="17"/>
      <c r="E303" s="28">
        <f t="shared" si="4"/>
        <v>-14272</v>
      </c>
    </row>
    <row r="304" spans="1:5" x14ac:dyDescent="0.25">
      <c r="A304" s="29">
        <v>45599</v>
      </c>
      <c r="B304" s="27" t="s">
        <v>51</v>
      </c>
      <c r="C304" s="17">
        <f>440*2.5</f>
        <v>1100</v>
      </c>
      <c r="D304" s="17"/>
      <c r="E304" s="28">
        <f t="shared" si="4"/>
        <v>-15372</v>
      </c>
    </row>
    <row r="305" spans="1:5" x14ac:dyDescent="0.25">
      <c r="A305" s="29">
        <v>45600</v>
      </c>
      <c r="B305" s="27" t="s">
        <v>113</v>
      </c>
      <c r="C305" s="17"/>
      <c r="D305" s="17">
        <f>4900</f>
        <v>4900</v>
      </c>
      <c r="E305" s="28">
        <f t="shared" si="4"/>
        <v>-10472</v>
      </c>
    </row>
    <row r="306" spans="1:5" x14ac:dyDescent="0.25">
      <c r="A306" s="29">
        <v>45602</v>
      </c>
      <c r="B306" s="27" t="s">
        <v>51</v>
      </c>
      <c r="C306" s="17">
        <f>740*2.5</f>
        <v>1850</v>
      </c>
      <c r="D306" s="17"/>
      <c r="E306" s="28">
        <f t="shared" si="4"/>
        <v>-12322</v>
      </c>
    </row>
    <row r="307" spans="1:5" x14ac:dyDescent="0.25">
      <c r="A307" s="29">
        <v>45603</v>
      </c>
      <c r="B307" s="27" t="s">
        <v>31</v>
      </c>
      <c r="C307" s="17">
        <f>250</f>
        <v>250</v>
      </c>
      <c r="D307" s="17"/>
      <c r="E307" s="28">
        <f t="shared" si="4"/>
        <v>-12572</v>
      </c>
    </row>
    <row r="308" spans="1:5" x14ac:dyDescent="0.25">
      <c r="A308" s="29">
        <v>45604</v>
      </c>
      <c r="B308" s="27" t="s">
        <v>31</v>
      </c>
      <c r="C308" s="17">
        <f>150*2.5</f>
        <v>375</v>
      </c>
      <c r="D308" s="17"/>
      <c r="E308" s="28">
        <f t="shared" si="4"/>
        <v>-12947</v>
      </c>
    </row>
    <row r="309" spans="1:5" x14ac:dyDescent="0.25">
      <c r="A309" s="29">
        <v>45605</v>
      </c>
      <c r="B309" s="27" t="s">
        <v>51</v>
      </c>
      <c r="C309" s="17">
        <f>840*2.5</f>
        <v>2100</v>
      </c>
      <c r="D309" s="17"/>
      <c r="E309" s="28">
        <f t="shared" si="4"/>
        <v>-15047</v>
      </c>
    </row>
    <row r="310" spans="1:5" x14ac:dyDescent="0.25">
      <c r="A310" s="29">
        <v>45605</v>
      </c>
      <c r="B310" s="27" t="s">
        <v>31</v>
      </c>
      <c r="C310" s="17">
        <f>100*2.5</f>
        <v>250</v>
      </c>
      <c r="D310" s="17"/>
      <c r="E310" s="28">
        <f t="shared" si="4"/>
        <v>-15297</v>
      </c>
    </row>
    <row r="311" spans="1:5" x14ac:dyDescent="0.25">
      <c r="A311" s="29">
        <v>45607</v>
      </c>
      <c r="B311" s="27" t="s">
        <v>51</v>
      </c>
      <c r="C311" s="17">
        <f>700*2.5</f>
        <v>1750</v>
      </c>
      <c r="D311" s="17"/>
      <c r="E311" s="28">
        <f t="shared" si="4"/>
        <v>-17047</v>
      </c>
    </row>
    <row r="312" spans="1:5" x14ac:dyDescent="0.25">
      <c r="A312" s="29">
        <v>45607</v>
      </c>
      <c r="B312" s="27" t="s">
        <v>31</v>
      </c>
      <c r="C312" s="17">
        <f>200*2.5</f>
        <v>500</v>
      </c>
      <c r="D312" s="17"/>
      <c r="E312" s="28">
        <f t="shared" si="4"/>
        <v>-17547</v>
      </c>
    </row>
    <row r="313" spans="1:5" x14ac:dyDescent="0.25">
      <c r="A313" s="29">
        <v>45608</v>
      </c>
      <c r="B313" s="27" t="s">
        <v>31</v>
      </c>
      <c r="C313" s="17">
        <f>250</f>
        <v>250</v>
      </c>
      <c r="D313" s="17"/>
      <c r="E313" s="28">
        <f t="shared" si="4"/>
        <v>-17797</v>
      </c>
    </row>
    <row r="314" spans="1:5" x14ac:dyDescent="0.25">
      <c r="A314" s="29">
        <v>45608</v>
      </c>
      <c r="B314" s="27" t="s">
        <v>49</v>
      </c>
      <c r="C314" s="17"/>
      <c r="D314" s="17">
        <f>15000</f>
        <v>15000</v>
      </c>
      <c r="E314" s="28">
        <f t="shared" si="4"/>
        <v>-2797</v>
      </c>
    </row>
    <row r="315" spans="1:5" x14ac:dyDescent="0.25">
      <c r="A315" s="29">
        <v>45612</v>
      </c>
      <c r="B315" s="27" t="s">
        <v>51</v>
      </c>
      <c r="C315" s="17">
        <f>350*2.5</f>
        <v>875</v>
      </c>
      <c r="D315" s="17"/>
      <c r="E315" s="28">
        <f t="shared" si="4"/>
        <v>-3672</v>
      </c>
    </row>
    <row r="316" spans="1:5" x14ac:dyDescent="0.25">
      <c r="A316" s="29">
        <v>45614</v>
      </c>
      <c r="B316" s="27" t="s">
        <v>31</v>
      </c>
      <c r="C316" s="17">
        <f>270*2.5</f>
        <v>675</v>
      </c>
      <c r="D316" s="17"/>
      <c r="E316" s="28">
        <f t="shared" si="4"/>
        <v>-4347</v>
      </c>
    </row>
    <row r="317" spans="1:5" x14ac:dyDescent="0.25">
      <c r="A317" s="29">
        <v>45615</v>
      </c>
      <c r="B317" s="27" t="s">
        <v>31</v>
      </c>
      <c r="C317" s="17">
        <f>400*2.5</f>
        <v>1000</v>
      </c>
      <c r="D317" s="17"/>
      <c r="E317" s="28">
        <f t="shared" si="4"/>
        <v>-5347</v>
      </c>
    </row>
    <row r="318" spans="1:5" x14ac:dyDescent="0.25">
      <c r="A318" s="29">
        <v>45616</v>
      </c>
      <c r="B318" s="27" t="s">
        <v>31</v>
      </c>
      <c r="C318" s="17">
        <f>205*2.5</f>
        <v>512.5</v>
      </c>
      <c r="D318" s="17"/>
      <c r="E318" s="28">
        <f t="shared" si="4"/>
        <v>-5859.5</v>
      </c>
    </row>
    <row r="319" spans="1:5" x14ac:dyDescent="0.25">
      <c r="A319" s="29">
        <v>45617</v>
      </c>
      <c r="B319" s="27" t="s">
        <v>113</v>
      </c>
      <c r="C319" s="17"/>
      <c r="D319" s="17">
        <v>5000</v>
      </c>
      <c r="E319" s="28">
        <f t="shared" si="4"/>
        <v>-859.5</v>
      </c>
    </row>
    <row r="320" spans="1:5" x14ac:dyDescent="0.25">
      <c r="A320" s="29">
        <v>45618</v>
      </c>
      <c r="B320" s="27" t="s">
        <v>31</v>
      </c>
      <c r="C320" s="17">
        <f>160*2.5</f>
        <v>400</v>
      </c>
      <c r="D320" s="17"/>
      <c r="E320" s="28">
        <f t="shared" si="4"/>
        <v>-1259.5</v>
      </c>
    </row>
    <row r="321" spans="1:5" x14ac:dyDescent="0.25">
      <c r="A321" s="29">
        <v>45619</v>
      </c>
      <c r="B321" s="27" t="s">
        <v>31</v>
      </c>
      <c r="C321" s="17">
        <f>340*2.5</f>
        <v>850</v>
      </c>
      <c r="D321" s="17"/>
      <c r="E321" s="28">
        <f t="shared" si="4"/>
        <v>-2109.5</v>
      </c>
    </row>
    <row r="322" spans="1:5" x14ac:dyDescent="0.25">
      <c r="A322" s="29">
        <v>45620</v>
      </c>
      <c r="B322" s="27" t="s">
        <v>31</v>
      </c>
      <c r="C322" s="17">
        <f>250*2.5</f>
        <v>625</v>
      </c>
      <c r="D322" s="17"/>
      <c r="E322" s="28">
        <f t="shared" si="4"/>
        <v>-2734.5</v>
      </c>
    </row>
    <row r="323" spans="1:5" x14ac:dyDescent="0.25">
      <c r="A323" s="29">
        <v>45621</v>
      </c>
      <c r="B323" s="27" t="s">
        <v>31</v>
      </c>
      <c r="C323" s="17">
        <f>55*2.5</f>
        <v>137.5</v>
      </c>
      <c r="D323" s="17"/>
      <c r="E323" s="28">
        <f t="shared" si="4"/>
        <v>-2872</v>
      </c>
    </row>
    <row r="324" spans="1:5" x14ac:dyDescent="0.25">
      <c r="A324" s="29">
        <v>45622</v>
      </c>
      <c r="B324" s="27" t="s">
        <v>31</v>
      </c>
      <c r="C324" s="17">
        <f>200*2.5</f>
        <v>500</v>
      </c>
      <c r="D324" s="17"/>
      <c r="E324" s="28">
        <f t="shared" si="4"/>
        <v>-3372</v>
      </c>
    </row>
    <row r="325" spans="1:5" x14ac:dyDescent="0.25">
      <c r="A325" s="29">
        <v>45624</v>
      </c>
      <c r="B325" s="27" t="s">
        <v>51</v>
      </c>
      <c r="C325" s="17">
        <f>640*2.5</f>
        <v>1600</v>
      </c>
      <c r="D325" s="17"/>
      <c r="E325" s="28">
        <f t="shared" si="4"/>
        <v>-4972</v>
      </c>
    </row>
    <row r="326" spans="1:5" x14ac:dyDescent="0.25">
      <c r="A326" s="29">
        <v>45626</v>
      </c>
      <c r="B326" s="27" t="s">
        <v>31</v>
      </c>
      <c r="C326" s="17">
        <f>170*2.5</f>
        <v>425</v>
      </c>
      <c r="D326" s="17"/>
      <c r="E326" s="28">
        <f t="shared" ref="E326:E389" si="5">E325+D326-C326</f>
        <v>-5397</v>
      </c>
    </row>
    <row r="327" spans="1:5" x14ac:dyDescent="0.25">
      <c r="A327" s="29"/>
      <c r="B327" s="27"/>
      <c r="C327" s="17"/>
      <c r="D327" s="17"/>
      <c r="E327" s="28">
        <f t="shared" si="5"/>
        <v>-5397</v>
      </c>
    </row>
    <row r="328" spans="1:5" x14ac:dyDescent="0.25">
      <c r="A328" s="29">
        <v>45628</v>
      </c>
      <c r="B328" s="27" t="s">
        <v>49</v>
      </c>
      <c r="C328" s="17"/>
      <c r="D328" s="17">
        <f>10000</f>
        <v>10000</v>
      </c>
      <c r="E328" s="28">
        <f t="shared" si="5"/>
        <v>4603</v>
      </c>
    </row>
    <row r="329" spans="1:5" x14ac:dyDescent="0.25">
      <c r="A329" s="29">
        <v>45630</v>
      </c>
      <c r="B329" s="27" t="s">
        <v>31</v>
      </c>
      <c r="C329" s="17">
        <f>125*2.5</f>
        <v>312.5</v>
      </c>
      <c r="D329" s="17"/>
      <c r="E329" s="28">
        <f t="shared" si="5"/>
        <v>4290.5</v>
      </c>
    </row>
    <row r="330" spans="1:5" x14ac:dyDescent="0.25">
      <c r="A330" s="29">
        <v>45631</v>
      </c>
      <c r="B330" s="27" t="s">
        <v>51</v>
      </c>
      <c r="C330" s="17">
        <f>640*2.5</f>
        <v>1600</v>
      </c>
      <c r="D330" s="17"/>
      <c r="E330" s="28">
        <f t="shared" si="5"/>
        <v>2690.5</v>
      </c>
    </row>
    <row r="331" spans="1:5" x14ac:dyDescent="0.25">
      <c r="A331" s="29">
        <v>45633</v>
      </c>
      <c r="B331" s="27" t="s">
        <v>31</v>
      </c>
      <c r="C331" s="17">
        <f>200*2.5</f>
        <v>500</v>
      </c>
      <c r="D331" s="17"/>
      <c r="E331" s="28">
        <f t="shared" si="5"/>
        <v>2190.5</v>
      </c>
    </row>
    <row r="332" spans="1:5" x14ac:dyDescent="0.25">
      <c r="A332" s="29">
        <v>45634</v>
      </c>
      <c r="B332" s="27" t="s">
        <v>31</v>
      </c>
      <c r="C332" s="17">
        <f>550</f>
        <v>550</v>
      </c>
      <c r="D332" s="17"/>
      <c r="E332" s="28">
        <f t="shared" si="5"/>
        <v>1640.5</v>
      </c>
    </row>
    <row r="333" spans="1:5" x14ac:dyDescent="0.25">
      <c r="A333" s="29">
        <v>45638</v>
      </c>
      <c r="B333" s="27" t="s">
        <v>31</v>
      </c>
      <c r="C333" s="17">
        <f>375</f>
        <v>375</v>
      </c>
      <c r="D333" s="17"/>
      <c r="E333" s="28">
        <f t="shared" si="5"/>
        <v>1265.5</v>
      </c>
    </row>
    <row r="334" spans="1:5" x14ac:dyDescent="0.25">
      <c r="A334" s="29">
        <v>45639</v>
      </c>
      <c r="B334" s="27" t="s">
        <v>31</v>
      </c>
      <c r="C334" s="17">
        <f>375</f>
        <v>375</v>
      </c>
      <c r="D334" s="17"/>
      <c r="E334" s="28">
        <f t="shared" si="5"/>
        <v>890.5</v>
      </c>
    </row>
    <row r="335" spans="1:5" x14ac:dyDescent="0.25">
      <c r="A335" s="29">
        <v>45641</v>
      </c>
      <c r="B335" s="27" t="s">
        <v>31</v>
      </c>
      <c r="C335" s="17">
        <f>415*2.5</f>
        <v>1037.5</v>
      </c>
      <c r="D335" s="17"/>
      <c r="E335" s="28">
        <f t="shared" si="5"/>
        <v>-147</v>
      </c>
    </row>
    <row r="336" spans="1:5" x14ac:dyDescent="0.25">
      <c r="A336" s="29">
        <v>45642</v>
      </c>
      <c r="B336" s="27" t="s">
        <v>31</v>
      </c>
      <c r="C336" s="17">
        <f>50*2.5</f>
        <v>125</v>
      </c>
      <c r="D336" s="17"/>
      <c r="E336" s="28">
        <f t="shared" si="5"/>
        <v>-272</v>
      </c>
    </row>
    <row r="337" spans="1:5" x14ac:dyDescent="0.25">
      <c r="A337" s="29">
        <v>45643</v>
      </c>
      <c r="B337" s="27" t="s">
        <v>51</v>
      </c>
      <c r="C337" s="17">
        <f>740*2.5</f>
        <v>1850</v>
      </c>
      <c r="D337" s="17"/>
      <c r="E337" s="28">
        <f t="shared" si="5"/>
        <v>-2122</v>
      </c>
    </row>
    <row r="338" spans="1:5" x14ac:dyDescent="0.25">
      <c r="A338" s="29">
        <v>45644</v>
      </c>
      <c r="B338" s="27" t="s">
        <v>51</v>
      </c>
      <c r="C338" s="17">
        <f>440*2.5</f>
        <v>1100</v>
      </c>
      <c r="D338" s="17"/>
      <c r="E338" s="28">
        <f t="shared" si="5"/>
        <v>-3222</v>
      </c>
    </row>
    <row r="339" spans="1:5" x14ac:dyDescent="0.25">
      <c r="A339" s="29">
        <v>45645</v>
      </c>
      <c r="B339" s="27" t="s">
        <v>31</v>
      </c>
      <c r="C339" s="17">
        <f>775</f>
        <v>775</v>
      </c>
      <c r="D339" s="17"/>
      <c r="E339" s="28">
        <f t="shared" si="5"/>
        <v>-3997</v>
      </c>
    </row>
    <row r="340" spans="1:5" x14ac:dyDescent="0.25">
      <c r="A340" s="29">
        <v>45646</v>
      </c>
      <c r="B340" s="27" t="s">
        <v>116</v>
      </c>
      <c r="C340" s="17"/>
      <c r="D340" s="17">
        <f>2*420</f>
        <v>840</v>
      </c>
      <c r="E340" s="28">
        <f t="shared" si="5"/>
        <v>-3157</v>
      </c>
    </row>
    <row r="341" spans="1:5" x14ac:dyDescent="0.25">
      <c r="A341" s="29">
        <v>45646</v>
      </c>
      <c r="B341" s="27" t="s">
        <v>31</v>
      </c>
      <c r="C341" s="17">
        <v>525</v>
      </c>
      <c r="D341" s="17"/>
      <c r="E341" s="28">
        <f t="shared" si="5"/>
        <v>-3682</v>
      </c>
    </row>
    <row r="342" spans="1:5" x14ac:dyDescent="0.25">
      <c r="A342" s="29">
        <v>45646</v>
      </c>
      <c r="B342" s="27" t="s">
        <v>51</v>
      </c>
      <c r="C342" s="17">
        <f>1650</f>
        <v>1650</v>
      </c>
      <c r="D342" s="17"/>
      <c r="E342" s="28">
        <f t="shared" si="5"/>
        <v>-5332</v>
      </c>
    </row>
    <row r="343" spans="1:5" x14ac:dyDescent="0.25">
      <c r="A343" s="29">
        <v>45647</v>
      </c>
      <c r="B343" s="27" t="s">
        <v>31</v>
      </c>
      <c r="C343" s="17">
        <f>250</f>
        <v>250</v>
      </c>
      <c r="D343" s="17"/>
      <c r="E343" s="28">
        <f t="shared" si="5"/>
        <v>-5582</v>
      </c>
    </row>
    <row r="344" spans="1:5" x14ac:dyDescent="0.25">
      <c r="A344" s="29">
        <v>45649</v>
      </c>
      <c r="B344" s="27" t="s">
        <v>31</v>
      </c>
      <c r="C344" s="17">
        <f>340*2.5</f>
        <v>850</v>
      </c>
      <c r="D344" s="17"/>
      <c r="E344" s="28">
        <f t="shared" si="5"/>
        <v>-6432</v>
      </c>
    </row>
    <row r="345" spans="1:5" x14ac:dyDescent="0.25">
      <c r="A345" s="29">
        <v>45650</v>
      </c>
      <c r="B345" s="27" t="s">
        <v>51</v>
      </c>
      <c r="C345" s="17">
        <f>280*2.5</f>
        <v>700</v>
      </c>
      <c r="D345" s="17"/>
      <c r="E345" s="28">
        <f t="shared" si="5"/>
        <v>-7132</v>
      </c>
    </row>
    <row r="346" spans="1:5" x14ac:dyDescent="0.25">
      <c r="A346" s="29">
        <v>45651</v>
      </c>
      <c r="B346" s="27" t="s">
        <v>51</v>
      </c>
      <c r="C346" s="17">
        <f>640*2.5</f>
        <v>1600</v>
      </c>
      <c r="D346" s="17"/>
      <c r="E346" s="28">
        <f t="shared" si="5"/>
        <v>-8732</v>
      </c>
    </row>
    <row r="347" spans="1:5" x14ac:dyDescent="0.25">
      <c r="A347" s="29">
        <v>45651</v>
      </c>
      <c r="B347" s="27" t="s">
        <v>31</v>
      </c>
      <c r="C347" s="17">
        <f>350*2.5</f>
        <v>875</v>
      </c>
      <c r="D347" s="17"/>
      <c r="E347" s="28">
        <f t="shared" si="5"/>
        <v>-9607</v>
      </c>
    </row>
    <row r="348" spans="1:5" x14ac:dyDescent="0.25">
      <c r="A348" s="29">
        <v>45652</v>
      </c>
      <c r="B348" s="27" t="s">
        <v>117</v>
      </c>
      <c r="C348" s="17"/>
      <c r="D348" s="17">
        <f>11700</f>
        <v>11700</v>
      </c>
      <c r="E348" s="28">
        <f t="shared" si="5"/>
        <v>2093</v>
      </c>
    </row>
    <row r="349" spans="1:5" x14ac:dyDescent="0.25">
      <c r="A349" s="29">
        <v>45652</v>
      </c>
      <c r="B349" s="27" t="s">
        <v>31</v>
      </c>
      <c r="C349" s="17">
        <f>555*2.5</f>
        <v>1387.5</v>
      </c>
      <c r="D349" s="17"/>
      <c r="E349" s="28">
        <f t="shared" si="5"/>
        <v>705.5</v>
      </c>
    </row>
    <row r="350" spans="1:5" x14ac:dyDescent="0.25">
      <c r="A350" s="29">
        <v>45653</v>
      </c>
      <c r="B350" s="27" t="s">
        <v>31</v>
      </c>
      <c r="C350" s="17">
        <f>150*2.5</f>
        <v>375</v>
      </c>
      <c r="D350" s="17"/>
      <c r="E350" s="28">
        <f t="shared" si="5"/>
        <v>330.5</v>
      </c>
    </row>
    <row r="351" spans="1:5" x14ac:dyDescent="0.25">
      <c r="A351" s="29">
        <v>45654</v>
      </c>
      <c r="B351" s="27" t="s">
        <v>51</v>
      </c>
      <c r="C351" s="17">
        <f>1000</f>
        <v>1000</v>
      </c>
      <c r="D351" s="17"/>
      <c r="E351" s="28">
        <f t="shared" si="5"/>
        <v>-669.5</v>
      </c>
    </row>
    <row r="352" spans="1:5" x14ac:dyDescent="0.25">
      <c r="A352" s="29">
        <v>45654</v>
      </c>
      <c r="B352" s="27" t="s">
        <v>31</v>
      </c>
      <c r="C352" s="17">
        <f>500</f>
        <v>500</v>
      </c>
      <c r="D352" s="17"/>
      <c r="E352" s="28">
        <f t="shared" si="5"/>
        <v>-1169.5</v>
      </c>
    </row>
    <row r="353" spans="1:5" x14ac:dyDescent="0.25">
      <c r="A353" s="29">
        <v>45655</v>
      </c>
      <c r="B353" s="27" t="s">
        <v>31</v>
      </c>
      <c r="C353" s="17">
        <f>450</f>
        <v>450</v>
      </c>
      <c r="D353" s="17"/>
      <c r="E353" s="28">
        <f t="shared" si="5"/>
        <v>-1619.5</v>
      </c>
    </row>
    <row r="354" spans="1:5" x14ac:dyDescent="0.25">
      <c r="A354" s="29">
        <v>45656</v>
      </c>
      <c r="B354" s="27" t="s">
        <v>51</v>
      </c>
      <c r="C354" s="17">
        <f>300*2.5</f>
        <v>750</v>
      </c>
      <c r="D354" s="17"/>
      <c r="E354" s="28">
        <f t="shared" si="5"/>
        <v>-2369.5</v>
      </c>
    </row>
    <row r="355" spans="1:5" x14ac:dyDescent="0.25">
      <c r="A355" s="29">
        <v>45657</v>
      </c>
      <c r="B355" s="27" t="s">
        <v>51</v>
      </c>
      <c r="C355" s="17">
        <f>540*2.5</f>
        <v>1350</v>
      </c>
      <c r="D355" s="17"/>
      <c r="E355" s="28">
        <f t="shared" si="5"/>
        <v>-3719.5</v>
      </c>
    </row>
    <row r="356" spans="1:5" x14ac:dyDescent="0.25">
      <c r="A356" s="29">
        <v>45657</v>
      </c>
      <c r="B356" s="27" t="s">
        <v>31</v>
      </c>
      <c r="C356" s="17">
        <f>363*2.5</f>
        <v>907.5</v>
      </c>
      <c r="D356" s="17"/>
      <c r="E356" s="28">
        <f t="shared" si="5"/>
        <v>-4627</v>
      </c>
    </row>
    <row r="357" spans="1:5" x14ac:dyDescent="0.25">
      <c r="A357" s="29">
        <v>45657</v>
      </c>
      <c r="B357" s="27" t="s">
        <v>118</v>
      </c>
      <c r="C357" s="17"/>
      <c r="D357" s="17">
        <f>10000</f>
        <v>10000</v>
      </c>
      <c r="E357" s="28">
        <f t="shared" si="5"/>
        <v>5373</v>
      </c>
    </row>
    <row r="358" spans="1:5" x14ac:dyDescent="0.25">
      <c r="A358" s="29"/>
      <c r="B358" s="27"/>
      <c r="C358" s="17"/>
      <c r="D358" s="17"/>
      <c r="E358" s="28">
        <f t="shared" si="5"/>
        <v>5373</v>
      </c>
    </row>
    <row r="359" spans="1:5" x14ac:dyDescent="0.25">
      <c r="A359" s="29">
        <v>45658</v>
      </c>
      <c r="B359" s="27" t="s">
        <v>31</v>
      </c>
      <c r="C359" s="17">
        <f>290*2.5</f>
        <v>725</v>
      </c>
      <c r="D359" s="17"/>
      <c r="E359" s="28">
        <f t="shared" si="5"/>
        <v>4648</v>
      </c>
    </row>
    <row r="360" spans="1:5" x14ac:dyDescent="0.25">
      <c r="A360" s="29">
        <v>45659</v>
      </c>
      <c r="B360" s="27" t="s">
        <v>31</v>
      </c>
      <c r="C360" s="17">
        <f>180*2.5</f>
        <v>450</v>
      </c>
      <c r="D360" s="17"/>
      <c r="E360" s="28">
        <f t="shared" si="5"/>
        <v>4198</v>
      </c>
    </row>
    <row r="361" spans="1:5" x14ac:dyDescent="0.25">
      <c r="A361" s="29">
        <v>45659</v>
      </c>
      <c r="B361" s="27" t="s">
        <v>51</v>
      </c>
      <c r="C361" s="17">
        <f>540*2.5</f>
        <v>1350</v>
      </c>
      <c r="D361" s="17"/>
      <c r="E361" s="28">
        <f t="shared" si="5"/>
        <v>2848</v>
      </c>
    </row>
    <row r="362" spans="1:5" x14ac:dyDescent="0.25">
      <c r="A362" s="29">
        <v>45661</v>
      </c>
      <c r="B362" s="27" t="s">
        <v>51</v>
      </c>
      <c r="C362" s="17">
        <f>600*2.5</f>
        <v>1500</v>
      </c>
      <c r="D362" s="17"/>
      <c r="E362" s="28">
        <f t="shared" si="5"/>
        <v>1348</v>
      </c>
    </row>
    <row r="363" spans="1:5" x14ac:dyDescent="0.25">
      <c r="A363" s="29">
        <v>45663</v>
      </c>
      <c r="B363" s="27" t="s">
        <v>51</v>
      </c>
      <c r="C363" s="17">
        <f>740*2.5</f>
        <v>1850</v>
      </c>
      <c r="D363" s="17"/>
      <c r="E363" s="28">
        <f t="shared" si="5"/>
        <v>-502</v>
      </c>
    </row>
    <row r="364" spans="1:5" x14ac:dyDescent="0.25">
      <c r="A364" s="29">
        <v>45663</v>
      </c>
      <c r="B364" s="27" t="s">
        <v>31</v>
      </c>
      <c r="C364" s="17">
        <f>450</f>
        <v>450</v>
      </c>
      <c r="D364" s="17"/>
      <c r="E364" s="28">
        <f t="shared" si="5"/>
        <v>-952</v>
      </c>
    </row>
    <row r="365" spans="1:5" x14ac:dyDescent="0.25">
      <c r="A365" s="29">
        <v>45665</v>
      </c>
      <c r="B365" s="27" t="s">
        <v>51</v>
      </c>
      <c r="C365" s="17">
        <f>340*2.5</f>
        <v>850</v>
      </c>
      <c r="D365" s="17"/>
      <c r="E365" s="28">
        <f t="shared" si="5"/>
        <v>-1802</v>
      </c>
    </row>
    <row r="366" spans="1:5" x14ac:dyDescent="0.25">
      <c r="A366" s="29">
        <v>45665</v>
      </c>
      <c r="B366" s="27" t="s">
        <v>31</v>
      </c>
      <c r="C366" s="17">
        <f>150*2.5</f>
        <v>375</v>
      </c>
      <c r="D366" s="17"/>
      <c r="E366" s="28">
        <f t="shared" si="5"/>
        <v>-2177</v>
      </c>
    </row>
    <row r="367" spans="1:5" x14ac:dyDescent="0.25">
      <c r="A367" s="29">
        <v>45666</v>
      </c>
      <c r="B367" s="27" t="s">
        <v>31</v>
      </c>
      <c r="C367" s="17">
        <f>550</f>
        <v>550</v>
      </c>
      <c r="D367" s="17"/>
      <c r="E367" s="28">
        <f t="shared" si="5"/>
        <v>-2727</v>
      </c>
    </row>
    <row r="368" spans="1:5" x14ac:dyDescent="0.25">
      <c r="A368" s="29">
        <v>45667</v>
      </c>
      <c r="B368" s="27" t="s">
        <v>31</v>
      </c>
      <c r="C368" s="17">
        <f>150*2.5</f>
        <v>375</v>
      </c>
      <c r="D368" s="17"/>
      <c r="E368" s="28">
        <f t="shared" si="5"/>
        <v>-3102</v>
      </c>
    </row>
    <row r="369" spans="1:5" x14ac:dyDescent="0.25">
      <c r="A369" s="29">
        <v>45668</v>
      </c>
      <c r="B369" s="27" t="s">
        <v>31</v>
      </c>
      <c r="C369" s="17">
        <f>540*2.5</f>
        <v>1350</v>
      </c>
      <c r="D369" s="17"/>
      <c r="E369" s="28">
        <f t="shared" si="5"/>
        <v>-4452</v>
      </c>
    </row>
    <row r="370" spans="1:5" x14ac:dyDescent="0.25">
      <c r="A370" s="29">
        <v>45672</v>
      </c>
      <c r="B370" s="27" t="s">
        <v>49</v>
      </c>
      <c r="C370" s="17"/>
      <c r="D370" s="17">
        <f>10000</f>
        <v>10000</v>
      </c>
      <c r="E370" s="28">
        <f t="shared" si="5"/>
        <v>5548</v>
      </c>
    </row>
    <row r="371" spans="1:5" x14ac:dyDescent="0.25">
      <c r="A371" s="29">
        <v>45673</v>
      </c>
      <c r="B371" s="27" t="s">
        <v>51</v>
      </c>
      <c r="C371" s="17">
        <f>1000</f>
        <v>1000</v>
      </c>
      <c r="D371" s="17"/>
      <c r="E371" s="28">
        <f t="shared" si="5"/>
        <v>4548</v>
      </c>
    </row>
    <row r="372" spans="1:5" x14ac:dyDescent="0.25">
      <c r="A372" s="29">
        <v>45674</v>
      </c>
      <c r="B372" s="27" t="s">
        <v>31</v>
      </c>
      <c r="C372" s="17">
        <f>212*2.5</f>
        <v>530</v>
      </c>
      <c r="D372" s="17"/>
      <c r="E372" s="28">
        <f t="shared" si="5"/>
        <v>4018</v>
      </c>
    </row>
    <row r="373" spans="1:5" x14ac:dyDescent="0.25">
      <c r="A373" s="29">
        <v>45675</v>
      </c>
      <c r="B373" s="27" t="s">
        <v>51</v>
      </c>
      <c r="C373" s="17">
        <f>625</f>
        <v>625</v>
      </c>
      <c r="D373" s="17"/>
      <c r="E373" s="28">
        <f t="shared" si="5"/>
        <v>3393</v>
      </c>
    </row>
    <row r="374" spans="1:5" x14ac:dyDescent="0.25">
      <c r="A374" s="29">
        <v>45675</v>
      </c>
      <c r="B374" s="27" t="s">
        <v>31</v>
      </c>
      <c r="C374" s="17">
        <v>250</v>
      </c>
      <c r="D374" s="17"/>
      <c r="E374" s="28">
        <f t="shared" si="5"/>
        <v>3143</v>
      </c>
    </row>
    <row r="375" spans="1:5" x14ac:dyDescent="0.25">
      <c r="A375" s="29">
        <v>45676</v>
      </c>
      <c r="B375" s="27" t="s">
        <v>51</v>
      </c>
      <c r="C375" s="17">
        <f>250</f>
        <v>250</v>
      </c>
      <c r="D375" s="17"/>
      <c r="E375" s="28">
        <f t="shared" si="5"/>
        <v>2893</v>
      </c>
    </row>
    <row r="376" spans="1:5" x14ac:dyDescent="0.25">
      <c r="A376" s="29">
        <v>45678</v>
      </c>
      <c r="B376" s="27" t="s">
        <v>31</v>
      </c>
      <c r="C376" s="17">
        <f>250</f>
        <v>250</v>
      </c>
      <c r="D376" s="17"/>
      <c r="E376" s="28">
        <f t="shared" si="5"/>
        <v>2643</v>
      </c>
    </row>
    <row r="377" spans="1:5" x14ac:dyDescent="0.25">
      <c r="A377" s="29">
        <v>45679</v>
      </c>
      <c r="B377" s="27" t="s">
        <v>31</v>
      </c>
      <c r="C377" s="17">
        <f>200*2.5</f>
        <v>500</v>
      </c>
      <c r="D377" s="17"/>
      <c r="E377" s="28">
        <f t="shared" si="5"/>
        <v>2143</v>
      </c>
    </row>
    <row r="378" spans="1:5" x14ac:dyDescent="0.25">
      <c r="A378" s="29">
        <v>45680</v>
      </c>
      <c r="B378" s="27" t="s">
        <v>51</v>
      </c>
      <c r="C378" s="17">
        <f>380*2.5</f>
        <v>950</v>
      </c>
      <c r="D378" s="17"/>
      <c r="E378" s="28">
        <f t="shared" si="5"/>
        <v>1193</v>
      </c>
    </row>
    <row r="379" spans="1:5" x14ac:dyDescent="0.25">
      <c r="A379" s="29">
        <v>45681</v>
      </c>
      <c r="B379" s="27" t="s">
        <v>31</v>
      </c>
      <c r="C379" s="17">
        <f>500</f>
        <v>500</v>
      </c>
      <c r="D379" s="17"/>
      <c r="E379" s="28">
        <f t="shared" si="5"/>
        <v>693</v>
      </c>
    </row>
    <row r="380" spans="1:5" x14ac:dyDescent="0.25">
      <c r="A380" s="29">
        <v>45681</v>
      </c>
      <c r="B380" s="27" t="s">
        <v>51</v>
      </c>
      <c r="C380" s="17">
        <f>1850</f>
        <v>1850</v>
      </c>
      <c r="D380" s="17"/>
      <c r="E380" s="28">
        <f t="shared" si="5"/>
        <v>-1157</v>
      </c>
    </row>
    <row r="381" spans="1:5" x14ac:dyDescent="0.25">
      <c r="A381" s="29">
        <v>45682</v>
      </c>
      <c r="B381" s="27" t="s">
        <v>31</v>
      </c>
      <c r="C381" s="17">
        <f>1475</f>
        <v>1475</v>
      </c>
      <c r="D381" s="17"/>
      <c r="E381" s="28">
        <f t="shared" si="5"/>
        <v>-2632</v>
      </c>
    </row>
    <row r="382" spans="1:5" x14ac:dyDescent="0.25">
      <c r="A382" s="29">
        <v>45683</v>
      </c>
      <c r="B382" s="27" t="s">
        <v>31</v>
      </c>
      <c r="C382" s="17">
        <f>168*2.5</f>
        <v>420</v>
      </c>
      <c r="D382" s="17"/>
      <c r="E382" s="28">
        <f t="shared" si="5"/>
        <v>-3052</v>
      </c>
    </row>
    <row r="383" spans="1:5" x14ac:dyDescent="0.25">
      <c r="A383" s="29">
        <v>45684</v>
      </c>
      <c r="B383" s="27" t="s">
        <v>51</v>
      </c>
      <c r="C383" s="17">
        <f>550*2.5</f>
        <v>1375</v>
      </c>
      <c r="D383" s="17"/>
      <c r="E383" s="28">
        <f t="shared" si="5"/>
        <v>-4427</v>
      </c>
    </row>
    <row r="384" spans="1:5" x14ac:dyDescent="0.25">
      <c r="A384" s="29">
        <v>45685</v>
      </c>
      <c r="B384" s="27" t="s">
        <v>51</v>
      </c>
      <c r="C384" s="17">
        <f>100*2.5</f>
        <v>250</v>
      </c>
      <c r="D384" s="17"/>
      <c r="E384" s="28">
        <f t="shared" si="5"/>
        <v>-4677</v>
      </c>
    </row>
    <row r="385" spans="1:5" x14ac:dyDescent="0.25">
      <c r="A385" s="29">
        <v>45685</v>
      </c>
      <c r="B385" s="27" t="s">
        <v>31</v>
      </c>
      <c r="C385" s="17">
        <f>30*2.5</f>
        <v>75</v>
      </c>
      <c r="D385" s="17"/>
      <c r="E385" s="28">
        <f t="shared" si="5"/>
        <v>-4752</v>
      </c>
    </row>
    <row r="386" spans="1:5" x14ac:dyDescent="0.25">
      <c r="A386" s="29">
        <v>45686</v>
      </c>
      <c r="B386" s="27" t="s">
        <v>51</v>
      </c>
      <c r="C386" s="17">
        <f>440*2.5</f>
        <v>1100</v>
      </c>
      <c r="D386" s="17"/>
      <c r="E386" s="28">
        <f t="shared" si="5"/>
        <v>-5852</v>
      </c>
    </row>
    <row r="387" spans="1:5" x14ac:dyDescent="0.25">
      <c r="A387" s="29">
        <v>45687</v>
      </c>
      <c r="B387" s="27" t="s">
        <v>31</v>
      </c>
      <c r="C387" s="17">
        <f>450</f>
        <v>450</v>
      </c>
      <c r="D387" s="17"/>
      <c r="E387" s="28">
        <f t="shared" si="5"/>
        <v>-6302</v>
      </c>
    </row>
    <row r="388" spans="1:5" x14ac:dyDescent="0.25">
      <c r="A388" s="29">
        <v>45687</v>
      </c>
      <c r="B388" s="27" t="s">
        <v>51</v>
      </c>
      <c r="C388" s="17">
        <v>1500</v>
      </c>
      <c r="D388" s="17"/>
      <c r="E388" s="28">
        <f t="shared" si="5"/>
        <v>-7802</v>
      </c>
    </row>
    <row r="389" spans="1:5" x14ac:dyDescent="0.25">
      <c r="A389" s="29">
        <v>45688</v>
      </c>
      <c r="B389" s="27" t="s">
        <v>49</v>
      </c>
      <c r="C389" s="17"/>
      <c r="D389" s="17">
        <f>10000</f>
        <v>10000</v>
      </c>
      <c r="E389" s="28">
        <f t="shared" si="5"/>
        <v>2198</v>
      </c>
    </row>
    <row r="390" spans="1:5" x14ac:dyDescent="0.25">
      <c r="A390" s="29">
        <v>45688</v>
      </c>
      <c r="B390" s="27" t="s">
        <v>31</v>
      </c>
      <c r="C390" s="17">
        <f>710*2.5</f>
        <v>1775</v>
      </c>
      <c r="D390" s="17"/>
      <c r="E390" s="28">
        <f t="shared" ref="E390:E453" si="6">E389+D390-C390</f>
        <v>423</v>
      </c>
    </row>
    <row r="391" spans="1:5" x14ac:dyDescent="0.25">
      <c r="A391" s="29"/>
      <c r="B391" s="27"/>
      <c r="C391" s="17"/>
      <c r="D391" s="17"/>
      <c r="E391" s="28">
        <f t="shared" si="6"/>
        <v>423</v>
      </c>
    </row>
    <row r="392" spans="1:5" x14ac:dyDescent="0.25">
      <c r="A392" s="29">
        <v>45689</v>
      </c>
      <c r="B392" s="27" t="s">
        <v>31</v>
      </c>
      <c r="C392" s="17">
        <f>275*2.5</f>
        <v>687.5</v>
      </c>
      <c r="D392" s="17"/>
      <c r="E392" s="28">
        <f t="shared" si="6"/>
        <v>-264.5</v>
      </c>
    </row>
    <row r="393" spans="1:5" x14ac:dyDescent="0.25">
      <c r="A393" s="29">
        <v>45690</v>
      </c>
      <c r="B393" s="27" t="s">
        <v>31</v>
      </c>
      <c r="C393" s="17">
        <f>700</f>
        <v>700</v>
      </c>
      <c r="D393" s="17"/>
      <c r="E393" s="28">
        <f t="shared" si="6"/>
        <v>-964.5</v>
      </c>
    </row>
    <row r="394" spans="1:5" x14ac:dyDescent="0.25">
      <c r="A394" s="29">
        <v>45691</v>
      </c>
      <c r="B394" s="27" t="s">
        <v>31</v>
      </c>
      <c r="C394" s="17">
        <v>625</v>
      </c>
      <c r="D394" s="17"/>
      <c r="E394" s="28">
        <f t="shared" si="6"/>
        <v>-1589.5</v>
      </c>
    </row>
    <row r="395" spans="1:5" x14ac:dyDescent="0.25">
      <c r="A395" s="29">
        <v>45692</v>
      </c>
      <c r="B395" s="27" t="s">
        <v>51</v>
      </c>
      <c r="C395" s="17">
        <f>510*2.5</f>
        <v>1275</v>
      </c>
      <c r="D395" s="17"/>
      <c r="E395" s="28">
        <f t="shared" si="6"/>
        <v>-2864.5</v>
      </c>
    </row>
    <row r="396" spans="1:5" x14ac:dyDescent="0.25">
      <c r="A396" s="29">
        <v>45692</v>
      </c>
      <c r="B396" s="27" t="s">
        <v>31</v>
      </c>
      <c r="C396" s="17">
        <f>215*2.5</f>
        <v>537.5</v>
      </c>
      <c r="D396" s="17"/>
      <c r="E396" s="28">
        <f t="shared" si="6"/>
        <v>-3402</v>
      </c>
    </row>
    <row r="397" spans="1:5" x14ac:dyDescent="0.25">
      <c r="A397" s="29">
        <v>45694</v>
      </c>
      <c r="B397" s="27" t="s">
        <v>120</v>
      </c>
      <c r="C397" s="17"/>
      <c r="D397" s="17">
        <f>10000</f>
        <v>10000</v>
      </c>
      <c r="E397" s="28">
        <f t="shared" si="6"/>
        <v>6598</v>
      </c>
    </row>
    <row r="398" spans="1:5" x14ac:dyDescent="0.25">
      <c r="A398" s="29">
        <v>45695</v>
      </c>
      <c r="B398" s="27" t="s">
        <v>51</v>
      </c>
      <c r="C398" s="17">
        <f>700*2.5</f>
        <v>1750</v>
      </c>
      <c r="D398" s="17"/>
      <c r="E398" s="28">
        <f t="shared" si="6"/>
        <v>4848</v>
      </c>
    </row>
    <row r="399" spans="1:5" x14ac:dyDescent="0.25">
      <c r="A399" s="29">
        <v>45696</v>
      </c>
      <c r="B399" s="27" t="s">
        <v>51</v>
      </c>
      <c r="C399" s="17">
        <f>700*2.5</f>
        <v>1750</v>
      </c>
      <c r="D399" s="17"/>
      <c r="E399" s="28">
        <f t="shared" si="6"/>
        <v>3098</v>
      </c>
    </row>
    <row r="400" spans="1:5" x14ac:dyDescent="0.25">
      <c r="A400" s="29">
        <v>45697</v>
      </c>
      <c r="B400" s="27" t="s">
        <v>51</v>
      </c>
      <c r="C400" s="17">
        <f>840*2.5</f>
        <v>2100</v>
      </c>
      <c r="D400" s="17"/>
      <c r="E400" s="28">
        <f t="shared" si="6"/>
        <v>998</v>
      </c>
    </row>
    <row r="401" spans="1:5" x14ac:dyDescent="0.25">
      <c r="A401" s="29">
        <v>45698</v>
      </c>
      <c r="B401" s="27" t="s">
        <v>31</v>
      </c>
      <c r="C401" s="17">
        <f>1400</f>
        <v>1400</v>
      </c>
      <c r="D401" s="17"/>
      <c r="E401" s="28">
        <f t="shared" si="6"/>
        <v>-402</v>
      </c>
    </row>
    <row r="402" spans="1:5" x14ac:dyDescent="0.25">
      <c r="A402" s="29">
        <v>45699</v>
      </c>
      <c r="B402" s="27" t="s">
        <v>31</v>
      </c>
      <c r="C402" s="17">
        <f>625</f>
        <v>625</v>
      </c>
      <c r="D402" s="17"/>
      <c r="E402" s="28">
        <f t="shared" si="6"/>
        <v>-1027</v>
      </c>
    </row>
    <row r="403" spans="1:5" x14ac:dyDescent="0.25">
      <c r="A403" s="29">
        <v>45700</v>
      </c>
      <c r="B403" s="27" t="s">
        <v>31</v>
      </c>
      <c r="C403" s="17">
        <f>270*2.5</f>
        <v>675</v>
      </c>
      <c r="D403" s="17"/>
      <c r="E403" s="28">
        <f t="shared" si="6"/>
        <v>-1702</v>
      </c>
    </row>
    <row r="404" spans="1:5" x14ac:dyDescent="0.25">
      <c r="A404" s="29">
        <v>45701</v>
      </c>
      <c r="B404" s="27" t="s">
        <v>31</v>
      </c>
      <c r="C404" s="17">
        <f>525</f>
        <v>525</v>
      </c>
      <c r="D404" s="17"/>
      <c r="E404" s="28">
        <f t="shared" si="6"/>
        <v>-2227</v>
      </c>
    </row>
    <row r="405" spans="1:5" x14ac:dyDescent="0.25">
      <c r="A405" s="29">
        <v>45702</v>
      </c>
      <c r="B405" s="27" t="s">
        <v>51</v>
      </c>
      <c r="C405" s="17">
        <f>1375</f>
        <v>1375</v>
      </c>
      <c r="D405" s="17"/>
      <c r="E405" s="28">
        <f t="shared" si="6"/>
        <v>-3602</v>
      </c>
    </row>
    <row r="406" spans="1:5" x14ac:dyDescent="0.25">
      <c r="A406" s="29">
        <v>45703</v>
      </c>
      <c r="B406" s="27" t="s">
        <v>51</v>
      </c>
      <c r="C406" s="17">
        <f>550*2.5</f>
        <v>1375</v>
      </c>
      <c r="D406" s="17"/>
      <c r="E406" s="28">
        <f t="shared" si="6"/>
        <v>-4977</v>
      </c>
    </row>
    <row r="407" spans="1:5" x14ac:dyDescent="0.25">
      <c r="A407" s="29">
        <v>45703</v>
      </c>
      <c r="B407" s="27" t="s">
        <v>49</v>
      </c>
      <c r="C407" s="17"/>
      <c r="D407" s="17">
        <f>10000</f>
        <v>10000</v>
      </c>
      <c r="E407" s="28">
        <f t="shared" si="6"/>
        <v>5023</v>
      </c>
    </row>
    <row r="408" spans="1:5" x14ac:dyDescent="0.25">
      <c r="A408" s="29">
        <v>45704</v>
      </c>
      <c r="B408" s="27" t="s">
        <v>31</v>
      </c>
      <c r="C408" s="17">
        <f>250</f>
        <v>250</v>
      </c>
      <c r="D408" s="17"/>
      <c r="E408" s="28">
        <f t="shared" si="6"/>
        <v>4773</v>
      </c>
    </row>
    <row r="409" spans="1:5" x14ac:dyDescent="0.25">
      <c r="A409" s="29">
        <v>45704</v>
      </c>
      <c r="B409" s="27" t="s">
        <v>51</v>
      </c>
      <c r="C409" s="17">
        <f>740*2.5</f>
        <v>1850</v>
      </c>
      <c r="D409" s="17"/>
      <c r="E409" s="28">
        <f t="shared" si="6"/>
        <v>2923</v>
      </c>
    </row>
    <row r="410" spans="1:5" x14ac:dyDescent="0.25">
      <c r="A410" s="29">
        <v>45705</v>
      </c>
      <c r="B410" s="27" t="s">
        <v>51</v>
      </c>
      <c r="C410" s="17">
        <f>200*2.5</f>
        <v>500</v>
      </c>
      <c r="D410" s="17"/>
      <c r="E410" s="28">
        <f t="shared" si="6"/>
        <v>2423</v>
      </c>
    </row>
    <row r="411" spans="1:5" x14ac:dyDescent="0.25">
      <c r="A411" s="29">
        <v>45705</v>
      </c>
      <c r="B411" s="27" t="s">
        <v>31</v>
      </c>
      <c r="C411" s="17">
        <f>300*2.5</f>
        <v>750</v>
      </c>
      <c r="D411" s="17"/>
      <c r="E411" s="28">
        <f t="shared" si="6"/>
        <v>1673</v>
      </c>
    </row>
    <row r="412" spans="1:5" x14ac:dyDescent="0.25">
      <c r="A412" s="29">
        <v>45706</v>
      </c>
      <c r="B412" s="27" t="s">
        <v>31</v>
      </c>
      <c r="C412" s="17">
        <f>250</f>
        <v>250</v>
      </c>
      <c r="D412" s="17"/>
      <c r="E412" s="28">
        <f t="shared" si="6"/>
        <v>1423</v>
      </c>
    </row>
    <row r="413" spans="1:5" x14ac:dyDescent="0.25">
      <c r="A413" s="29">
        <v>45707</v>
      </c>
      <c r="B413" s="27" t="s">
        <v>31</v>
      </c>
      <c r="C413" s="17">
        <f>300*2.5</f>
        <v>750</v>
      </c>
      <c r="D413" s="17"/>
      <c r="E413" s="28">
        <f t="shared" si="6"/>
        <v>673</v>
      </c>
    </row>
    <row r="414" spans="1:5" x14ac:dyDescent="0.25">
      <c r="A414" s="29">
        <v>45707</v>
      </c>
      <c r="B414" s="27" t="s">
        <v>51</v>
      </c>
      <c r="C414" s="17">
        <f>250*2.5</f>
        <v>625</v>
      </c>
      <c r="D414" s="17"/>
      <c r="E414" s="28">
        <f t="shared" si="6"/>
        <v>48</v>
      </c>
    </row>
    <row r="415" spans="1:5" x14ac:dyDescent="0.25">
      <c r="A415" s="29">
        <v>45708</v>
      </c>
      <c r="B415" s="27" t="s">
        <v>51</v>
      </c>
      <c r="C415" s="17">
        <f>1440*2.5</f>
        <v>3600</v>
      </c>
      <c r="D415" s="17"/>
      <c r="E415" s="28">
        <f t="shared" si="6"/>
        <v>-3552</v>
      </c>
    </row>
    <row r="416" spans="1:5" x14ac:dyDescent="0.25">
      <c r="A416" s="29">
        <v>45709</v>
      </c>
      <c r="B416" s="27" t="s">
        <v>31</v>
      </c>
      <c r="C416" s="17">
        <f>120*2.5</f>
        <v>300</v>
      </c>
      <c r="D416" s="17"/>
      <c r="E416" s="28">
        <f t="shared" si="6"/>
        <v>-3852</v>
      </c>
    </row>
    <row r="417" spans="1:5" x14ac:dyDescent="0.25">
      <c r="A417" s="29">
        <v>45710</v>
      </c>
      <c r="B417" s="27" t="s">
        <v>31</v>
      </c>
      <c r="C417" s="17">
        <f>250*2.5</f>
        <v>625</v>
      </c>
      <c r="D417" s="17"/>
      <c r="E417" s="28">
        <f t="shared" si="6"/>
        <v>-4477</v>
      </c>
    </row>
    <row r="418" spans="1:5" x14ac:dyDescent="0.25">
      <c r="A418" s="29">
        <v>45711</v>
      </c>
      <c r="B418" s="27" t="s">
        <v>31</v>
      </c>
      <c r="C418" s="17">
        <f>32*2.5</f>
        <v>80</v>
      </c>
      <c r="D418" s="17"/>
      <c r="E418" s="28">
        <f t="shared" si="6"/>
        <v>-4557</v>
      </c>
    </row>
    <row r="419" spans="1:5" x14ac:dyDescent="0.25">
      <c r="A419" s="29">
        <v>45711</v>
      </c>
      <c r="B419" s="27" t="s">
        <v>51</v>
      </c>
      <c r="C419" s="17">
        <f>490*2.5</f>
        <v>1225</v>
      </c>
      <c r="D419" s="17"/>
      <c r="E419" s="28">
        <f t="shared" si="6"/>
        <v>-5782</v>
      </c>
    </row>
    <row r="420" spans="1:5" x14ac:dyDescent="0.25">
      <c r="A420" s="29">
        <v>45712</v>
      </c>
      <c r="B420" s="27" t="s">
        <v>31</v>
      </c>
      <c r="C420" s="17">
        <f>150*2.5</f>
        <v>375</v>
      </c>
      <c r="D420" s="17"/>
      <c r="E420" s="28">
        <f t="shared" si="6"/>
        <v>-6157</v>
      </c>
    </row>
    <row r="421" spans="1:5" x14ac:dyDescent="0.25">
      <c r="A421" s="29">
        <v>45713</v>
      </c>
      <c r="B421" s="27" t="s">
        <v>31</v>
      </c>
      <c r="C421" s="17">
        <f>180*2.5</f>
        <v>450</v>
      </c>
      <c r="D421" s="17"/>
      <c r="E421" s="28">
        <f t="shared" si="6"/>
        <v>-6607</v>
      </c>
    </row>
    <row r="422" spans="1:5" x14ac:dyDescent="0.25">
      <c r="A422" s="29">
        <v>45714</v>
      </c>
      <c r="B422" s="27" t="s">
        <v>31</v>
      </c>
      <c r="C422" s="17">
        <f>150*2.5</f>
        <v>375</v>
      </c>
      <c r="D422" s="17"/>
      <c r="E422" s="28">
        <f t="shared" si="6"/>
        <v>-6982</v>
      </c>
    </row>
    <row r="423" spans="1:5" x14ac:dyDescent="0.25">
      <c r="A423" s="29">
        <v>45715</v>
      </c>
      <c r="B423" s="27" t="s">
        <v>31</v>
      </c>
      <c r="C423" s="17">
        <f>80*2.5</f>
        <v>200</v>
      </c>
      <c r="D423" s="17"/>
      <c r="E423" s="28">
        <f t="shared" si="6"/>
        <v>-7182</v>
      </c>
    </row>
    <row r="424" spans="1:5" x14ac:dyDescent="0.25">
      <c r="A424" s="29">
        <v>45715</v>
      </c>
      <c r="B424" s="27" t="s">
        <v>49</v>
      </c>
      <c r="C424" s="17"/>
      <c r="D424" s="17">
        <f>10000</f>
        <v>10000</v>
      </c>
      <c r="E424" s="28">
        <f t="shared" si="6"/>
        <v>2818</v>
      </c>
    </row>
    <row r="425" spans="1:5" x14ac:dyDescent="0.25">
      <c r="A425" s="29">
        <v>45716</v>
      </c>
      <c r="B425" s="27" t="s">
        <v>31</v>
      </c>
      <c r="C425" s="17">
        <f>50*2.5</f>
        <v>125</v>
      </c>
      <c r="D425" s="17"/>
      <c r="E425" s="28">
        <f t="shared" si="6"/>
        <v>2693</v>
      </c>
    </row>
    <row r="426" spans="1:5" x14ac:dyDescent="0.25">
      <c r="A426" s="29"/>
      <c r="B426" s="27"/>
      <c r="C426" s="17"/>
      <c r="D426" s="17"/>
      <c r="E426" s="28">
        <f t="shared" si="6"/>
        <v>2693</v>
      </c>
    </row>
    <row r="427" spans="1:5" x14ac:dyDescent="0.25">
      <c r="A427" s="29">
        <v>45717</v>
      </c>
      <c r="B427" s="27" t="s">
        <v>31</v>
      </c>
      <c r="C427" s="17">
        <f>210*2.5</f>
        <v>525</v>
      </c>
      <c r="D427" s="17"/>
      <c r="E427" s="28">
        <f t="shared" si="6"/>
        <v>2168</v>
      </c>
    </row>
    <row r="428" spans="1:5" x14ac:dyDescent="0.25">
      <c r="A428" s="29">
        <v>45718</v>
      </c>
      <c r="B428" s="27" t="s">
        <v>31</v>
      </c>
      <c r="C428" s="17">
        <f>250</f>
        <v>250</v>
      </c>
      <c r="D428" s="17"/>
      <c r="E428" s="28">
        <f t="shared" si="6"/>
        <v>1918</v>
      </c>
    </row>
    <row r="429" spans="1:5" x14ac:dyDescent="0.25">
      <c r="A429" s="29">
        <v>45719</v>
      </c>
      <c r="B429" s="27" t="s">
        <v>31</v>
      </c>
      <c r="C429" s="17">
        <f>240*2.5</f>
        <v>600</v>
      </c>
      <c r="D429" s="17"/>
      <c r="E429" s="28">
        <f t="shared" si="6"/>
        <v>1318</v>
      </c>
    </row>
    <row r="430" spans="1:5" x14ac:dyDescent="0.25">
      <c r="A430" s="29">
        <v>45720</v>
      </c>
      <c r="B430" s="27" t="s">
        <v>31</v>
      </c>
      <c r="C430" s="17">
        <f>488*2.5</f>
        <v>1220</v>
      </c>
      <c r="D430" s="17"/>
      <c r="E430" s="28">
        <f t="shared" si="6"/>
        <v>98</v>
      </c>
    </row>
    <row r="431" spans="1:5" x14ac:dyDescent="0.25">
      <c r="A431" s="29">
        <v>45726</v>
      </c>
      <c r="B431" s="27" t="s">
        <v>51</v>
      </c>
      <c r="C431" s="17">
        <f>850*2.5</f>
        <v>2125</v>
      </c>
      <c r="D431" s="17"/>
      <c r="E431" s="28">
        <f t="shared" si="6"/>
        <v>-2027</v>
      </c>
    </row>
    <row r="432" spans="1:5" x14ac:dyDescent="0.25">
      <c r="A432" s="29">
        <v>45733</v>
      </c>
      <c r="B432" s="27" t="s">
        <v>51</v>
      </c>
      <c r="C432" s="17">
        <f>1640*2.5</f>
        <v>4100</v>
      </c>
      <c r="D432" s="17"/>
      <c r="E432" s="28">
        <f t="shared" si="6"/>
        <v>-6127</v>
      </c>
    </row>
    <row r="433" spans="1:6" x14ac:dyDescent="0.25">
      <c r="A433" s="29">
        <v>45734</v>
      </c>
      <c r="B433" s="27" t="s">
        <v>49</v>
      </c>
      <c r="C433" s="17"/>
      <c r="D433" s="17">
        <f>10000</f>
        <v>10000</v>
      </c>
      <c r="E433" s="28">
        <f t="shared" si="6"/>
        <v>3873</v>
      </c>
    </row>
    <row r="434" spans="1:6" x14ac:dyDescent="0.25">
      <c r="A434" s="29">
        <v>45735</v>
      </c>
      <c r="B434" s="27" t="s">
        <v>31</v>
      </c>
      <c r="C434" s="17">
        <f>430*2.5</f>
        <v>1075</v>
      </c>
      <c r="D434" s="17"/>
      <c r="E434" s="28">
        <f t="shared" si="6"/>
        <v>2798</v>
      </c>
    </row>
    <row r="435" spans="1:6" x14ac:dyDescent="0.25">
      <c r="A435" s="29">
        <v>45738</v>
      </c>
      <c r="B435" s="27" t="s">
        <v>31</v>
      </c>
      <c r="C435" s="17">
        <f>300*2.5</f>
        <v>750</v>
      </c>
      <c r="D435" s="17"/>
      <c r="E435" s="28">
        <f t="shared" si="6"/>
        <v>2048</v>
      </c>
    </row>
    <row r="436" spans="1:6" x14ac:dyDescent="0.25">
      <c r="A436" s="29">
        <v>45741</v>
      </c>
      <c r="B436" s="27" t="s">
        <v>31</v>
      </c>
      <c r="C436" s="17">
        <f>250</f>
        <v>250</v>
      </c>
      <c r="D436" s="17"/>
      <c r="E436" s="28">
        <f t="shared" si="6"/>
        <v>1798</v>
      </c>
    </row>
    <row r="437" spans="1:6" x14ac:dyDescent="0.25">
      <c r="A437" s="29">
        <v>45742</v>
      </c>
      <c r="B437" s="27" t="s">
        <v>31</v>
      </c>
      <c r="C437" s="17">
        <f>115*2.5</f>
        <v>287.5</v>
      </c>
      <c r="D437" s="17"/>
      <c r="E437" s="28">
        <f t="shared" si="6"/>
        <v>1510.5</v>
      </c>
    </row>
    <row r="438" spans="1:6" x14ac:dyDescent="0.25">
      <c r="A438" s="29">
        <v>45743</v>
      </c>
      <c r="B438" s="27" t="s">
        <v>31</v>
      </c>
      <c r="C438" s="17">
        <f>250</f>
        <v>250</v>
      </c>
      <c r="D438" s="17"/>
      <c r="E438" s="28">
        <f t="shared" si="6"/>
        <v>1260.5</v>
      </c>
    </row>
    <row r="439" spans="1:6" x14ac:dyDescent="0.25">
      <c r="A439" s="29">
        <v>45744</v>
      </c>
      <c r="B439" s="27" t="s">
        <v>51</v>
      </c>
      <c r="C439" s="17">
        <f>840*2.5</f>
        <v>2100</v>
      </c>
      <c r="D439" s="17"/>
      <c r="E439" s="28">
        <f t="shared" si="6"/>
        <v>-839.5</v>
      </c>
    </row>
    <row r="440" spans="1:6" x14ac:dyDescent="0.25">
      <c r="A440" s="29">
        <v>45745</v>
      </c>
      <c r="B440" s="27" t="s">
        <v>51</v>
      </c>
      <c r="C440" s="17">
        <f>700*2.5</f>
        <v>1750</v>
      </c>
      <c r="D440" s="17"/>
      <c r="E440" s="28">
        <f t="shared" si="6"/>
        <v>-2589.5</v>
      </c>
    </row>
    <row r="441" spans="1:6" x14ac:dyDescent="0.25">
      <c r="A441" s="29">
        <v>45745</v>
      </c>
      <c r="B441" s="27" t="s">
        <v>31</v>
      </c>
      <c r="C441" s="17">
        <f>50*2.5</f>
        <v>125</v>
      </c>
      <c r="D441" s="17"/>
      <c r="E441" s="28">
        <f t="shared" si="6"/>
        <v>-2714.5</v>
      </c>
    </row>
    <row r="442" spans="1:6" x14ac:dyDescent="0.25">
      <c r="A442" s="29">
        <v>45746</v>
      </c>
      <c r="B442" s="27" t="s">
        <v>31</v>
      </c>
      <c r="C442" s="17">
        <f>45*2.5</f>
        <v>112.5</v>
      </c>
      <c r="D442" s="17"/>
      <c r="E442" s="28">
        <f t="shared" si="6"/>
        <v>-2827</v>
      </c>
    </row>
    <row r="443" spans="1:6" x14ac:dyDescent="0.25">
      <c r="A443" s="29">
        <v>45747</v>
      </c>
      <c r="B443" s="27" t="s">
        <v>120</v>
      </c>
      <c r="C443" s="17"/>
      <c r="D443" s="17">
        <f>10000</f>
        <v>10000</v>
      </c>
      <c r="E443" s="28">
        <f t="shared" si="6"/>
        <v>7173</v>
      </c>
    </row>
    <row r="444" spans="1:6" x14ac:dyDescent="0.25">
      <c r="A444" s="29"/>
      <c r="B444" s="27"/>
      <c r="C444" s="17"/>
      <c r="D444" s="17"/>
      <c r="E444" s="28">
        <f t="shared" si="6"/>
        <v>7173</v>
      </c>
    </row>
    <row r="445" spans="1:6" x14ac:dyDescent="0.25">
      <c r="A445" s="29">
        <v>45749</v>
      </c>
      <c r="B445" s="27" t="s">
        <v>31</v>
      </c>
      <c r="C445" s="17">
        <f>300*2.5</f>
        <v>750</v>
      </c>
      <c r="D445" s="17"/>
      <c r="E445" s="28">
        <f t="shared" si="6"/>
        <v>6423</v>
      </c>
      <c r="F445">
        <v>0</v>
      </c>
    </row>
    <row r="446" spans="1:6" x14ac:dyDescent="0.25">
      <c r="A446" s="29">
        <v>45750</v>
      </c>
      <c r="B446" s="27" t="s">
        <v>31</v>
      </c>
      <c r="C446" s="17">
        <f>310*2.5</f>
        <v>775</v>
      </c>
      <c r="D446" s="17"/>
      <c r="E446" s="28">
        <f t="shared" si="6"/>
        <v>5648</v>
      </c>
    </row>
    <row r="447" spans="1:6" x14ac:dyDescent="0.25">
      <c r="A447" s="29">
        <v>45751</v>
      </c>
      <c r="B447" s="27" t="s">
        <v>31</v>
      </c>
      <c r="C447" s="17">
        <f>200*2.5</f>
        <v>500</v>
      </c>
      <c r="D447" s="17"/>
      <c r="E447" s="28">
        <f t="shared" si="6"/>
        <v>5148</v>
      </c>
    </row>
    <row r="448" spans="1:6" x14ac:dyDescent="0.25">
      <c r="A448" s="29">
        <v>45752</v>
      </c>
      <c r="B448" s="27" t="s">
        <v>31</v>
      </c>
      <c r="C448" s="17">
        <f>250</f>
        <v>250</v>
      </c>
      <c r="D448" s="17"/>
      <c r="E448" s="28">
        <f t="shared" si="6"/>
        <v>4898</v>
      </c>
    </row>
    <row r="449" spans="1:5" x14ac:dyDescent="0.25">
      <c r="A449" s="29">
        <v>45753</v>
      </c>
      <c r="B449" s="27" t="s">
        <v>51</v>
      </c>
      <c r="C449" s="17">
        <f>700*2.5</f>
        <v>1750</v>
      </c>
      <c r="D449" s="17"/>
      <c r="E449" s="28">
        <f t="shared" si="6"/>
        <v>3148</v>
      </c>
    </row>
    <row r="450" spans="1:5" x14ac:dyDescent="0.25">
      <c r="A450" s="29">
        <v>45755</v>
      </c>
      <c r="B450" s="27" t="s">
        <v>31</v>
      </c>
      <c r="C450" s="17">
        <f>310*2.5</f>
        <v>775</v>
      </c>
      <c r="D450" s="17"/>
      <c r="E450" s="28">
        <f t="shared" si="6"/>
        <v>2373</v>
      </c>
    </row>
    <row r="451" spans="1:5" x14ac:dyDescent="0.25">
      <c r="A451" s="29">
        <v>45756</v>
      </c>
      <c r="B451" s="27" t="s">
        <v>31</v>
      </c>
      <c r="C451" s="17">
        <f>200*2.5</f>
        <v>500</v>
      </c>
      <c r="D451" s="17"/>
      <c r="E451" s="28">
        <f t="shared" si="6"/>
        <v>1873</v>
      </c>
    </row>
    <row r="452" spans="1:5" x14ac:dyDescent="0.25">
      <c r="A452" s="29">
        <v>45756</v>
      </c>
      <c r="B452" s="27" t="s">
        <v>51</v>
      </c>
      <c r="C452" s="17">
        <f>700*2.5</f>
        <v>1750</v>
      </c>
      <c r="D452" s="17"/>
      <c r="E452" s="28">
        <f t="shared" si="6"/>
        <v>123</v>
      </c>
    </row>
    <row r="453" spans="1:5" x14ac:dyDescent="0.25">
      <c r="A453" s="29">
        <v>45757</v>
      </c>
      <c r="B453" s="27" t="s">
        <v>31</v>
      </c>
      <c r="C453" s="17">
        <f>400*2.5</f>
        <v>1000</v>
      </c>
      <c r="D453" s="17"/>
      <c r="E453" s="28">
        <f t="shared" si="6"/>
        <v>-877</v>
      </c>
    </row>
    <row r="454" spans="1:5" x14ac:dyDescent="0.25">
      <c r="A454" s="29">
        <v>45758</v>
      </c>
      <c r="B454" s="27" t="s">
        <v>31</v>
      </c>
      <c r="C454" s="17">
        <f>250</f>
        <v>250</v>
      </c>
      <c r="D454" s="17"/>
      <c r="E454" s="28">
        <f t="shared" ref="E454:E517" si="7">E453+D454-C454</f>
        <v>-1127</v>
      </c>
    </row>
    <row r="455" spans="1:5" x14ac:dyDescent="0.25">
      <c r="A455" s="29">
        <v>45761</v>
      </c>
      <c r="B455" s="27" t="s">
        <v>31</v>
      </c>
      <c r="C455" s="17">
        <f>290*2.5</f>
        <v>725</v>
      </c>
      <c r="D455" s="17"/>
      <c r="E455" s="28">
        <f t="shared" si="7"/>
        <v>-1852</v>
      </c>
    </row>
    <row r="456" spans="1:5" x14ac:dyDescent="0.25">
      <c r="A456" s="29">
        <v>45762</v>
      </c>
      <c r="B456" s="27" t="s">
        <v>31</v>
      </c>
      <c r="C456" s="17">
        <f>230*2.5</f>
        <v>575</v>
      </c>
      <c r="D456" s="17"/>
      <c r="E456" s="28">
        <f t="shared" si="7"/>
        <v>-2427</v>
      </c>
    </row>
    <row r="457" spans="1:5" x14ac:dyDescent="0.25">
      <c r="A457" s="29">
        <v>45765</v>
      </c>
      <c r="B457" s="27" t="s">
        <v>51</v>
      </c>
      <c r="C457" s="17">
        <f>1400*3</f>
        <v>4200</v>
      </c>
      <c r="D457" s="17"/>
      <c r="E457" s="28">
        <f t="shared" si="7"/>
        <v>-6627</v>
      </c>
    </row>
    <row r="458" spans="1:5" x14ac:dyDescent="0.25">
      <c r="A458" s="29">
        <v>45765</v>
      </c>
      <c r="B458" s="27" t="s">
        <v>31</v>
      </c>
      <c r="C458" s="17">
        <f>80*2.5</f>
        <v>200</v>
      </c>
      <c r="D458" s="17"/>
      <c r="E458" s="28">
        <f t="shared" si="7"/>
        <v>-6827</v>
      </c>
    </row>
    <row r="459" spans="1:5" x14ac:dyDescent="0.25">
      <c r="A459" s="29">
        <v>45766</v>
      </c>
      <c r="B459" s="27" t="s">
        <v>31</v>
      </c>
      <c r="C459" s="17">
        <f>250*2.5</f>
        <v>625</v>
      </c>
      <c r="D459" s="17"/>
      <c r="E459" s="28">
        <f t="shared" si="7"/>
        <v>-7452</v>
      </c>
    </row>
    <row r="460" spans="1:5" x14ac:dyDescent="0.25">
      <c r="A460" s="29">
        <v>45767</v>
      </c>
      <c r="B460" s="27" t="s">
        <v>31</v>
      </c>
      <c r="C460" s="17">
        <f>310*2.5</f>
        <v>775</v>
      </c>
      <c r="D460" s="17"/>
      <c r="E460" s="28">
        <f t="shared" si="7"/>
        <v>-8227</v>
      </c>
    </row>
    <row r="461" spans="1:5" x14ac:dyDescent="0.25">
      <c r="A461" s="29">
        <v>45768</v>
      </c>
      <c r="B461" s="27" t="s">
        <v>31</v>
      </c>
      <c r="C461" s="17">
        <f>250</f>
        <v>250</v>
      </c>
      <c r="D461" s="17"/>
      <c r="E461" s="28">
        <f t="shared" si="7"/>
        <v>-8477</v>
      </c>
    </row>
    <row r="462" spans="1:5" x14ac:dyDescent="0.25">
      <c r="A462" s="29">
        <v>45769</v>
      </c>
      <c r="B462" s="27" t="s">
        <v>31</v>
      </c>
      <c r="C462" s="17">
        <f>80*2.5</f>
        <v>200</v>
      </c>
      <c r="D462" s="17"/>
      <c r="E462" s="28">
        <f t="shared" si="7"/>
        <v>-8677</v>
      </c>
    </row>
    <row r="463" spans="1:5" x14ac:dyDescent="0.25">
      <c r="A463" s="29">
        <v>45770</v>
      </c>
      <c r="B463" s="27" t="s">
        <v>31</v>
      </c>
      <c r="C463" s="17">
        <f>260*2.5</f>
        <v>650</v>
      </c>
      <c r="D463" s="17"/>
      <c r="E463" s="28">
        <f t="shared" si="7"/>
        <v>-9327</v>
      </c>
    </row>
    <row r="464" spans="1:5" x14ac:dyDescent="0.25">
      <c r="A464" s="29">
        <v>45771</v>
      </c>
      <c r="B464" s="27" t="s">
        <v>31</v>
      </c>
      <c r="C464" s="17">
        <f>300</f>
        <v>300</v>
      </c>
      <c r="D464" s="17"/>
      <c r="E464" s="28">
        <f t="shared" si="7"/>
        <v>-9627</v>
      </c>
    </row>
    <row r="465" spans="1:5" x14ac:dyDescent="0.25">
      <c r="A465" s="29">
        <v>45771</v>
      </c>
      <c r="B465" s="27" t="s">
        <v>49</v>
      </c>
      <c r="C465" s="17"/>
      <c r="D465" s="17">
        <f>11250</f>
        <v>11250</v>
      </c>
      <c r="E465" s="28">
        <f t="shared" si="7"/>
        <v>1623</v>
      </c>
    </row>
    <row r="466" spans="1:5" x14ac:dyDescent="0.25">
      <c r="A466" s="29">
        <v>45772</v>
      </c>
      <c r="B466" s="27" t="s">
        <v>31</v>
      </c>
      <c r="C466" s="17">
        <f>200*2.5</f>
        <v>500</v>
      </c>
      <c r="D466" s="17"/>
      <c r="E466" s="28">
        <f t="shared" si="7"/>
        <v>1123</v>
      </c>
    </row>
    <row r="467" spans="1:5" x14ac:dyDescent="0.25">
      <c r="A467" s="29">
        <v>45773</v>
      </c>
      <c r="B467" s="27" t="s">
        <v>51</v>
      </c>
      <c r="C467" s="17">
        <f>250*2.5</f>
        <v>625</v>
      </c>
      <c r="D467" s="17"/>
      <c r="E467" s="28">
        <f t="shared" si="7"/>
        <v>498</v>
      </c>
    </row>
    <row r="468" spans="1:5" x14ac:dyDescent="0.25">
      <c r="A468" s="29">
        <v>45775</v>
      </c>
      <c r="B468" s="27" t="s">
        <v>31</v>
      </c>
      <c r="C468" s="17">
        <f>150*2.5</f>
        <v>375</v>
      </c>
      <c r="D468" s="17"/>
      <c r="E468" s="28">
        <f t="shared" si="7"/>
        <v>123</v>
      </c>
    </row>
    <row r="469" spans="1:5" x14ac:dyDescent="0.25">
      <c r="A469" s="29">
        <v>45776</v>
      </c>
      <c r="B469" s="27" t="s">
        <v>31</v>
      </c>
      <c r="C469" s="17">
        <f>200*2.5</f>
        <v>500</v>
      </c>
      <c r="D469" s="17"/>
      <c r="E469" s="28">
        <f t="shared" si="7"/>
        <v>-377</v>
      </c>
    </row>
    <row r="470" spans="1:5" x14ac:dyDescent="0.25">
      <c r="A470" s="29"/>
      <c r="B470" s="27"/>
      <c r="C470" s="17"/>
      <c r="D470" s="17"/>
      <c r="E470" s="28">
        <f t="shared" si="7"/>
        <v>-377</v>
      </c>
    </row>
    <row r="471" spans="1:5" x14ac:dyDescent="0.25">
      <c r="A471" s="29">
        <v>45780</v>
      </c>
      <c r="B471" s="27" t="s">
        <v>51</v>
      </c>
      <c r="C471" s="17">
        <f>200*2.5</f>
        <v>500</v>
      </c>
      <c r="D471" s="17"/>
      <c r="E471" s="28">
        <f t="shared" si="7"/>
        <v>-877</v>
      </c>
    </row>
    <row r="472" spans="1:5" x14ac:dyDescent="0.25">
      <c r="A472" s="29">
        <v>45781</v>
      </c>
      <c r="B472" s="27" t="s">
        <v>51</v>
      </c>
      <c r="C472" s="17">
        <f>250*2.5</f>
        <v>625</v>
      </c>
      <c r="D472" s="17"/>
      <c r="E472" s="28">
        <f t="shared" si="7"/>
        <v>-1502</v>
      </c>
    </row>
    <row r="473" spans="1:5" x14ac:dyDescent="0.25">
      <c r="A473" s="29">
        <v>45785</v>
      </c>
      <c r="B473" s="27" t="s">
        <v>51</v>
      </c>
      <c r="C473" s="17">
        <f>120*2.5</f>
        <v>300</v>
      </c>
      <c r="D473" s="17"/>
      <c r="E473" s="28">
        <f t="shared" si="7"/>
        <v>-1802</v>
      </c>
    </row>
    <row r="474" spans="1:5" x14ac:dyDescent="0.25">
      <c r="A474" s="29">
        <v>45787</v>
      </c>
      <c r="B474" s="27" t="s">
        <v>51</v>
      </c>
      <c r="C474" s="17">
        <f>250</f>
        <v>250</v>
      </c>
      <c r="D474" s="17"/>
      <c r="E474" s="28">
        <f t="shared" si="7"/>
        <v>-2052</v>
      </c>
    </row>
    <row r="475" spans="1:5" x14ac:dyDescent="0.25">
      <c r="A475" s="29">
        <v>45788</v>
      </c>
      <c r="B475" s="27" t="s">
        <v>51</v>
      </c>
      <c r="C475" s="17">
        <f>250*2.5</f>
        <v>625</v>
      </c>
      <c r="D475" s="17"/>
      <c r="E475" s="28">
        <f t="shared" si="7"/>
        <v>-2677</v>
      </c>
    </row>
    <row r="476" spans="1:5" x14ac:dyDescent="0.25">
      <c r="A476" s="29">
        <v>45791</v>
      </c>
      <c r="B476" s="27" t="s">
        <v>51</v>
      </c>
      <c r="C476" s="17">
        <f>700*2.5</f>
        <v>1750</v>
      </c>
      <c r="D476" s="17"/>
      <c r="E476" s="28">
        <f t="shared" si="7"/>
        <v>-4427</v>
      </c>
    </row>
    <row r="477" spans="1:5" x14ac:dyDescent="0.25">
      <c r="A477" s="29">
        <v>45791</v>
      </c>
      <c r="B477" s="27" t="s">
        <v>31</v>
      </c>
      <c r="C477" s="17">
        <f>275*2.5</f>
        <v>687.5</v>
      </c>
      <c r="D477" s="17"/>
      <c r="E477" s="28">
        <f t="shared" si="7"/>
        <v>-5114.5</v>
      </c>
    </row>
    <row r="478" spans="1:5" x14ac:dyDescent="0.25">
      <c r="A478" s="29">
        <v>45793</v>
      </c>
      <c r="B478" s="27" t="s">
        <v>49</v>
      </c>
      <c r="C478" s="17"/>
      <c r="D478" s="17">
        <f>10000</f>
        <v>10000</v>
      </c>
      <c r="E478" s="28">
        <f t="shared" si="7"/>
        <v>4885.5</v>
      </c>
    </row>
    <row r="479" spans="1:5" x14ac:dyDescent="0.25">
      <c r="A479" s="29">
        <v>45794</v>
      </c>
      <c r="B479" s="27" t="s">
        <v>51</v>
      </c>
      <c r="C479" s="17">
        <f>160*2.5</f>
        <v>400</v>
      </c>
      <c r="D479" s="17"/>
      <c r="E479" s="28">
        <f t="shared" si="7"/>
        <v>4485.5</v>
      </c>
    </row>
    <row r="480" spans="1:5" x14ac:dyDescent="0.25">
      <c r="A480" s="29">
        <v>45796</v>
      </c>
      <c r="B480" s="27" t="s">
        <v>51</v>
      </c>
      <c r="C480" s="17">
        <f>700*2.5</f>
        <v>1750</v>
      </c>
      <c r="D480" s="17"/>
      <c r="E480" s="28">
        <f t="shared" si="7"/>
        <v>2735.5</v>
      </c>
    </row>
    <row r="481" spans="1:5" x14ac:dyDescent="0.25">
      <c r="A481" s="29">
        <v>45797</v>
      </c>
      <c r="B481" s="27" t="s">
        <v>31</v>
      </c>
      <c r="C481" s="17">
        <f>250*2.5</f>
        <v>625</v>
      </c>
      <c r="D481" s="17"/>
      <c r="E481" s="28">
        <f t="shared" si="7"/>
        <v>2110.5</v>
      </c>
    </row>
    <row r="482" spans="1:5" x14ac:dyDescent="0.25">
      <c r="A482" s="29">
        <v>45798</v>
      </c>
      <c r="B482" s="27" t="s">
        <v>31</v>
      </c>
      <c r="C482" s="17">
        <f>350*2.5</f>
        <v>875</v>
      </c>
      <c r="D482" s="17"/>
      <c r="E482" s="28">
        <f t="shared" si="7"/>
        <v>1235.5</v>
      </c>
    </row>
    <row r="483" spans="1:5" x14ac:dyDescent="0.25">
      <c r="A483" s="29">
        <v>45800</v>
      </c>
      <c r="B483" s="27" t="s">
        <v>31</v>
      </c>
      <c r="C483" s="17">
        <f>90*2.5</f>
        <v>225</v>
      </c>
      <c r="D483" s="17"/>
      <c r="E483" s="28">
        <f t="shared" si="7"/>
        <v>1010.5</v>
      </c>
    </row>
    <row r="484" spans="1:5" x14ac:dyDescent="0.25">
      <c r="A484" s="29">
        <v>45800</v>
      </c>
      <c r="B484" s="27" t="s">
        <v>51</v>
      </c>
      <c r="C484" s="17">
        <f>700*2.5</f>
        <v>1750</v>
      </c>
      <c r="D484" s="17"/>
      <c r="E484" s="28">
        <f t="shared" si="7"/>
        <v>-739.5</v>
      </c>
    </row>
    <row r="485" spans="1:5" x14ac:dyDescent="0.25">
      <c r="A485" s="29">
        <v>45801</v>
      </c>
      <c r="B485" s="27" t="s">
        <v>31</v>
      </c>
      <c r="C485" s="17">
        <f>430*2.5</f>
        <v>1075</v>
      </c>
      <c r="D485" s="17"/>
      <c r="E485" s="28">
        <f t="shared" si="7"/>
        <v>-1814.5</v>
      </c>
    </row>
    <row r="486" spans="1:5" x14ac:dyDescent="0.25">
      <c r="A486" s="29">
        <v>45802</v>
      </c>
      <c r="B486" s="27" t="s">
        <v>31</v>
      </c>
      <c r="C486" s="17">
        <f>170*2.5</f>
        <v>425</v>
      </c>
      <c r="D486" s="17"/>
      <c r="E486" s="28">
        <f t="shared" si="7"/>
        <v>-2239.5</v>
      </c>
    </row>
    <row r="487" spans="1:5" x14ac:dyDescent="0.25">
      <c r="A487" s="29">
        <v>45803</v>
      </c>
      <c r="B487" s="27" t="s">
        <v>31</v>
      </c>
      <c r="C487" s="17">
        <f>440*2.5</f>
        <v>1100</v>
      </c>
      <c r="D487" s="17"/>
      <c r="E487" s="28">
        <f t="shared" si="7"/>
        <v>-3339.5</v>
      </c>
    </row>
    <row r="488" spans="1:5" x14ac:dyDescent="0.25">
      <c r="A488" s="29">
        <v>45804</v>
      </c>
      <c r="B488" s="27" t="s">
        <v>51</v>
      </c>
      <c r="C488" s="17">
        <f>50*2.5</f>
        <v>125</v>
      </c>
      <c r="D488" s="17"/>
      <c r="E488" s="28">
        <f t="shared" si="7"/>
        <v>-3464.5</v>
      </c>
    </row>
    <row r="489" spans="1:5" x14ac:dyDescent="0.25">
      <c r="A489" s="29">
        <v>45805</v>
      </c>
      <c r="B489" s="27" t="s">
        <v>51</v>
      </c>
      <c r="C489" s="17">
        <f>700*3</f>
        <v>2100</v>
      </c>
      <c r="D489" s="17"/>
      <c r="E489" s="28">
        <f t="shared" si="7"/>
        <v>-5564.5</v>
      </c>
    </row>
    <row r="490" spans="1:5" x14ac:dyDescent="0.25">
      <c r="A490" s="29">
        <v>45805</v>
      </c>
      <c r="B490" s="27" t="s">
        <v>51</v>
      </c>
      <c r="C490" s="17">
        <f>700*2.5</f>
        <v>1750</v>
      </c>
      <c r="D490" s="17"/>
      <c r="E490" s="28">
        <f t="shared" si="7"/>
        <v>-7314.5</v>
      </c>
    </row>
    <row r="491" spans="1:5" x14ac:dyDescent="0.25">
      <c r="A491" s="29">
        <v>45806</v>
      </c>
      <c r="B491" s="27" t="s">
        <v>31</v>
      </c>
      <c r="C491" s="17">
        <f>120*2.5</f>
        <v>300</v>
      </c>
      <c r="D491" s="17"/>
      <c r="E491" s="28">
        <f t="shared" si="7"/>
        <v>-7614.5</v>
      </c>
    </row>
    <row r="492" spans="1:5" x14ac:dyDescent="0.25">
      <c r="A492" s="29">
        <v>45807</v>
      </c>
      <c r="B492" s="27" t="s">
        <v>51</v>
      </c>
      <c r="C492" s="17">
        <f>430*2.5</f>
        <v>1075</v>
      </c>
      <c r="D492" s="17"/>
      <c r="E492" s="28">
        <f t="shared" si="7"/>
        <v>-8689.5</v>
      </c>
    </row>
    <row r="493" spans="1:5" x14ac:dyDescent="0.25">
      <c r="A493" s="29">
        <v>45808</v>
      </c>
      <c r="B493" s="27" t="s">
        <v>31</v>
      </c>
      <c r="C493" s="17">
        <f>320*2.5</f>
        <v>800</v>
      </c>
      <c r="D493" s="17"/>
      <c r="E493" s="28">
        <f t="shared" si="7"/>
        <v>-9489.5</v>
      </c>
    </row>
    <row r="494" spans="1:5" x14ac:dyDescent="0.25">
      <c r="A494" s="29"/>
      <c r="B494" s="27"/>
      <c r="C494" s="17"/>
      <c r="D494" s="17"/>
      <c r="E494" s="28">
        <f t="shared" si="7"/>
        <v>-9489.5</v>
      </c>
    </row>
    <row r="495" spans="1:5" x14ac:dyDescent="0.25">
      <c r="A495" s="29">
        <v>45809</v>
      </c>
      <c r="B495" s="27" t="s">
        <v>31</v>
      </c>
      <c r="C495" s="17">
        <f>119*2.5</f>
        <v>297.5</v>
      </c>
      <c r="D495" s="17"/>
      <c r="E495" s="28">
        <f t="shared" si="7"/>
        <v>-9787</v>
      </c>
    </row>
    <row r="496" spans="1:5" x14ac:dyDescent="0.25">
      <c r="A496" s="29">
        <v>45810</v>
      </c>
      <c r="B496" s="27" t="s">
        <v>31</v>
      </c>
      <c r="C496" s="17">
        <f>1005</f>
        <v>1005</v>
      </c>
      <c r="D496" s="17"/>
      <c r="E496" s="28">
        <f t="shared" si="7"/>
        <v>-10792</v>
      </c>
    </row>
    <row r="497" spans="1:5" x14ac:dyDescent="0.25">
      <c r="A497" s="29">
        <v>45780</v>
      </c>
      <c r="B497" s="27" t="s">
        <v>31</v>
      </c>
      <c r="C497" s="17">
        <f>840*2.5</f>
        <v>2100</v>
      </c>
      <c r="D497" s="17"/>
      <c r="E497" s="28">
        <f t="shared" si="7"/>
        <v>-12892</v>
      </c>
    </row>
    <row r="498" spans="1:5" x14ac:dyDescent="0.25">
      <c r="A498" s="29">
        <v>45780</v>
      </c>
      <c r="B498" s="27" t="s">
        <v>49</v>
      </c>
      <c r="C498" s="17"/>
      <c r="D498" s="17">
        <f>15000</f>
        <v>15000</v>
      </c>
      <c r="E498" s="28">
        <f t="shared" si="7"/>
        <v>2108</v>
      </c>
    </row>
    <row r="499" spans="1:5" x14ac:dyDescent="0.25">
      <c r="A499" s="29">
        <v>45813</v>
      </c>
      <c r="B499" s="27" t="s">
        <v>31</v>
      </c>
      <c r="C499" s="17">
        <f>238*2.5</f>
        <v>595</v>
      </c>
      <c r="D499" s="17"/>
      <c r="E499" s="28">
        <f t="shared" si="7"/>
        <v>1513</v>
      </c>
    </row>
    <row r="500" spans="1:5" x14ac:dyDescent="0.25">
      <c r="A500" s="29">
        <v>45814</v>
      </c>
      <c r="B500" s="27" t="s">
        <v>31</v>
      </c>
      <c r="C500" s="17">
        <f>1125</f>
        <v>1125</v>
      </c>
      <c r="D500" s="17"/>
      <c r="E500" s="28">
        <f t="shared" si="7"/>
        <v>388</v>
      </c>
    </row>
    <row r="501" spans="1:5" x14ac:dyDescent="0.25">
      <c r="A501" s="29">
        <v>45821</v>
      </c>
      <c r="B501" s="27" t="s">
        <v>51</v>
      </c>
      <c r="C501" s="17">
        <f>250</f>
        <v>250</v>
      </c>
      <c r="D501" s="17"/>
      <c r="E501" s="28">
        <f t="shared" si="7"/>
        <v>138</v>
      </c>
    </row>
    <row r="502" spans="1:5" x14ac:dyDescent="0.25">
      <c r="A502" s="29">
        <v>45821</v>
      </c>
      <c r="B502" s="27" t="s">
        <v>49</v>
      </c>
      <c r="C502" s="17"/>
      <c r="D502" s="17">
        <f>10000</f>
        <v>10000</v>
      </c>
      <c r="E502" s="28">
        <f t="shared" si="7"/>
        <v>10138</v>
      </c>
    </row>
    <row r="503" spans="1:5" x14ac:dyDescent="0.25">
      <c r="A503" s="29">
        <v>45822</v>
      </c>
      <c r="B503" s="27" t="s">
        <v>51</v>
      </c>
      <c r="C503" s="17">
        <f>1290*3</f>
        <v>3870</v>
      </c>
      <c r="D503" s="17"/>
      <c r="E503" s="28">
        <f t="shared" si="7"/>
        <v>6268</v>
      </c>
    </row>
    <row r="504" spans="1:5" x14ac:dyDescent="0.25">
      <c r="A504" s="29">
        <v>45822</v>
      </c>
      <c r="B504" s="27" t="s">
        <v>31</v>
      </c>
      <c r="C504" s="17">
        <f>190*2.5</f>
        <v>475</v>
      </c>
      <c r="D504" s="17"/>
      <c r="E504" s="28">
        <f t="shared" si="7"/>
        <v>5793</v>
      </c>
    </row>
    <row r="505" spans="1:5" x14ac:dyDescent="0.25">
      <c r="A505" s="29">
        <v>45825</v>
      </c>
      <c r="B505" s="27" t="s">
        <v>31</v>
      </c>
      <c r="C505" s="17">
        <f>280*2.5</f>
        <v>700</v>
      </c>
      <c r="D505" s="17"/>
      <c r="E505" s="28">
        <f t="shared" si="7"/>
        <v>5093</v>
      </c>
    </row>
    <row r="506" spans="1:5" x14ac:dyDescent="0.25">
      <c r="A506" s="29">
        <v>45826</v>
      </c>
      <c r="B506" s="27" t="s">
        <v>51</v>
      </c>
      <c r="C506" s="17">
        <f>1220*2.5</f>
        <v>3050</v>
      </c>
      <c r="D506" s="17"/>
      <c r="E506" s="28">
        <f t="shared" si="7"/>
        <v>2043</v>
      </c>
    </row>
    <row r="507" spans="1:5" x14ac:dyDescent="0.25">
      <c r="A507" s="29">
        <v>45827</v>
      </c>
      <c r="B507" s="27" t="s">
        <v>31</v>
      </c>
      <c r="C507" s="17">
        <f>400*2.5</f>
        <v>1000</v>
      </c>
      <c r="D507" s="17"/>
      <c r="E507" s="28">
        <f t="shared" si="7"/>
        <v>1043</v>
      </c>
    </row>
    <row r="508" spans="1:5" x14ac:dyDescent="0.25">
      <c r="A508" s="29">
        <v>45828</v>
      </c>
      <c r="B508" s="27" t="s">
        <v>31</v>
      </c>
      <c r="C508" s="17">
        <f>250</f>
        <v>250</v>
      </c>
      <c r="D508" s="17"/>
      <c r="E508" s="28">
        <f t="shared" si="7"/>
        <v>793</v>
      </c>
    </row>
    <row r="509" spans="1:5" x14ac:dyDescent="0.25">
      <c r="A509" s="29">
        <v>45828</v>
      </c>
      <c r="B509" s="27" t="s">
        <v>49</v>
      </c>
      <c r="C509" s="17"/>
      <c r="D509" s="17">
        <v>10000</v>
      </c>
      <c r="E509" s="28">
        <f t="shared" si="7"/>
        <v>10793</v>
      </c>
    </row>
    <row r="510" spans="1:5" x14ac:dyDescent="0.25">
      <c r="A510" s="29">
        <v>45829</v>
      </c>
      <c r="B510" s="27" t="s">
        <v>31</v>
      </c>
      <c r="C510" s="17">
        <f>1000</f>
        <v>1000</v>
      </c>
      <c r="D510" s="17"/>
      <c r="E510" s="28">
        <f t="shared" si="7"/>
        <v>9793</v>
      </c>
    </row>
    <row r="511" spans="1:5" x14ac:dyDescent="0.25">
      <c r="A511" s="29">
        <v>45831</v>
      </c>
      <c r="B511" s="27" t="s">
        <v>31</v>
      </c>
      <c r="C511" s="17">
        <f>310*2.5</f>
        <v>775</v>
      </c>
      <c r="D511" s="17"/>
      <c r="E511" s="28">
        <f t="shared" si="7"/>
        <v>9018</v>
      </c>
    </row>
    <row r="512" spans="1:5" x14ac:dyDescent="0.25">
      <c r="A512" s="29">
        <v>45832</v>
      </c>
      <c r="B512" s="27" t="s">
        <v>31</v>
      </c>
      <c r="C512" s="17">
        <f>250*2.5</f>
        <v>625</v>
      </c>
      <c r="D512" s="17"/>
      <c r="E512" s="28">
        <f t="shared" si="7"/>
        <v>8393</v>
      </c>
    </row>
    <row r="513" spans="1:5" x14ac:dyDescent="0.25">
      <c r="A513" s="29">
        <v>45833</v>
      </c>
      <c r="B513" s="27" t="s">
        <v>31</v>
      </c>
      <c r="C513" s="17">
        <f>150*2.5</f>
        <v>375</v>
      </c>
      <c r="D513" s="17"/>
      <c r="E513" s="28">
        <f t="shared" si="7"/>
        <v>8018</v>
      </c>
    </row>
    <row r="514" spans="1:5" x14ac:dyDescent="0.25">
      <c r="A514" s="29">
        <v>45834</v>
      </c>
      <c r="B514" s="27" t="s">
        <v>31</v>
      </c>
      <c r="C514" s="17">
        <f>200*2.5</f>
        <v>500</v>
      </c>
      <c r="D514" s="17"/>
      <c r="E514" s="28">
        <f t="shared" si="7"/>
        <v>7518</v>
      </c>
    </row>
    <row r="515" spans="1:5" x14ac:dyDescent="0.25">
      <c r="A515" s="29">
        <v>45835</v>
      </c>
      <c r="B515" s="27" t="s">
        <v>31</v>
      </c>
      <c r="C515" s="17">
        <f>175</f>
        <v>175</v>
      </c>
      <c r="D515" s="17"/>
      <c r="E515" s="28">
        <f t="shared" si="7"/>
        <v>7343</v>
      </c>
    </row>
    <row r="516" spans="1:5" x14ac:dyDescent="0.25">
      <c r="A516" s="29">
        <v>45836</v>
      </c>
      <c r="B516" s="27" t="s">
        <v>31</v>
      </c>
      <c r="C516" s="17">
        <v>125</v>
      </c>
      <c r="D516" s="17"/>
      <c r="E516" s="28">
        <f t="shared" si="7"/>
        <v>7218</v>
      </c>
    </row>
    <row r="517" spans="1:5" x14ac:dyDescent="0.25">
      <c r="A517" s="29">
        <v>45836</v>
      </c>
      <c r="B517" s="27" t="s">
        <v>51</v>
      </c>
      <c r="C517" s="17">
        <v>1125</v>
      </c>
      <c r="D517" s="17"/>
      <c r="E517" s="28">
        <f t="shared" si="7"/>
        <v>6093</v>
      </c>
    </row>
    <row r="518" spans="1:5" x14ac:dyDescent="0.25">
      <c r="A518" s="29">
        <v>45837</v>
      </c>
      <c r="B518" s="27" t="s">
        <v>51</v>
      </c>
      <c r="C518" s="17">
        <v>250</v>
      </c>
      <c r="D518" s="17"/>
      <c r="E518" s="28">
        <f t="shared" ref="E518:E581" si="8">E517+D518-C518</f>
        <v>5843</v>
      </c>
    </row>
    <row r="519" spans="1:5" x14ac:dyDescent="0.25">
      <c r="A519" s="29"/>
      <c r="B519" s="27"/>
      <c r="C519" s="17"/>
      <c r="D519" s="17"/>
      <c r="E519" s="28">
        <f t="shared" si="8"/>
        <v>5843</v>
      </c>
    </row>
    <row r="520" spans="1:5" x14ac:dyDescent="0.25">
      <c r="A520" s="29">
        <v>45840</v>
      </c>
      <c r="B520" s="27" t="s">
        <v>31</v>
      </c>
      <c r="C520" s="17">
        <f>250*2.5</f>
        <v>625</v>
      </c>
      <c r="D520" s="17"/>
      <c r="E520" s="28">
        <f t="shared" si="8"/>
        <v>5218</v>
      </c>
    </row>
    <row r="521" spans="1:5" x14ac:dyDescent="0.25">
      <c r="A521" s="29">
        <v>45841</v>
      </c>
      <c r="B521" s="27" t="s">
        <v>51</v>
      </c>
      <c r="C521" s="17">
        <v>250</v>
      </c>
      <c r="D521" s="17"/>
      <c r="E521" s="28">
        <f t="shared" si="8"/>
        <v>4968</v>
      </c>
    </row>
    <row r="522" spans="1:5" x14ac:dyDescent="0.25">
      <c r="A522" s="29">
        <v>45842</v>
      </c>
      <c r="B522" s="27" t="s">
        <v>51</v>
      </c>
      <c r="C522" s="17">
        <v>250</v>
      </c>
      <c r="D522" s="17"/>
      <c r="E522" s="28">
        <f t="shared" si="8"/>
        <v>4718</v>
      </c>
    </row>
    <row r="523" spans="1:5" x14ac:dyDescent="0.25">
      <c r="A523" s="29">
        <v>45843</v>
      </c>
      <c r="B523" s="27" t="s">
        <v>51</v>
      </c>
      <c r="C523" s="17">
        <f>700*2.5</f>
        <v>1750</v>
      </c>
      <c r="D523" s="17"/>
      <c r="E523" s="28">
        <f t="shared" si="8"/>
        <v>2968</v>
      </c>
    </row>
    <row r="524" spans="1:5" x14ac:dyDescent="0.25">
      <c r="A524" s="29">
        <v>45845</v>
      </c>
      <c r="B524" s="27" t="s">
        <v>31</v>
      </c>
      <c r="C524" s="17">
        <f>625</f>
        <v>625</v>
      </c>
      <c r="D524" s="17"/>
      <c r="E524" s="28">
        <f t="shared" si="8"/>
        <v>2343</v>
      </c>
    </row>
    <row r="525" spans="1:5" x14ac:dyDescent="0.25">
      <c r="A525" s="29">
        <v>45846</v>
      </c>
      <c r="B525" s="27" t="s">
        <v>51</v>
      </c>
      <c r="C525" s="17">
        <f>200*2.5</f>
        <v>500</v>
      </c>
      <c r="D525" s="17"/>
      <c r="E525" s="28">
        <f t="shared" si="8"/>
        <v>1843</v>
      </c>
    </row>
    <row r="526" spans="1:5" x14ac:dyDescent="0.25">
      <c r="A526" s="29">
        <v>45847</v>
      </c>
      <c r="B526" s="27" t="s">
        <v>51</v>
      </c>
      <c r="C526" s="17">
        <f>500*2.5</f>
        <v>1250</v>
      </c>
      <c r="D526" s="17"/>
      <c r="E526" s="28">
        <f t="shared" si="8"/>
        <v>593</v>
      </c>
    </row>
    <row r="527" spans="1:5" x14ac:dyDescent="0.25">
      <c r="A527" s="29">
        <v>45848</v>
      </c>
      <c r="B527" s="27" t="s">
        <v>31</v>
      </c>
      <c r="C527" s="17">
        <f>130*2.5</f>
        <v>325</v>
      </c>
      <c r="D527" s="17"/>
      <c r="E527" s="28">
        <f t="shared" si="8"/>
        <v>268</v>
      </c>
    </row>
    <row r="528" spans="1:5" x14ac:dyDescent="0.25">
      <c r="A528" s="29">
        <v>45849</v>
      </c>
      <c r="B528" s="27" t="s">
        <v>31</v>
      </c>
      <c r="C528" s="17">
        <f>300*2.5</f>
        <v>750</v>
      </c>
      <c r="D528" s="17"/>
      <c r="E528" s="28">
        <f t="shared" si="8"/>
        <v>-482</v>
      </c>
    </row>
    <row r="529" spans="1:5" x14ac:dyDescent="0.25">
      <c r="A529" s="29">
        <v>45849</v>
      </c>
      <c r="B529" s="27" t="s">
        <v>49</v>
      </c>
      <c r="C529" s="17"/>
      <c r="D529" s="17">
        <f>10000</f>
        <v>10000</v>
      </c>
      <c r="E529" s="28">
        <f t="shared" si="8"/>
        <v>9518</v>
      </c>
    </row>
    <row r="530" spans="1:5" x14ac:dyDescent="0.25">
      <c r="A530" s="29">
        <v>45850</v>
      </c>
      <c r="B530" s="27" t="s">
        <v>31</v>
      </c>
      <c r="C530" s="17">
        <f>220*2.5</f>
        <v>550</v>
      </c>
      <c r="D530" s="17"/>
      <c r="E530" s="28">
        <f t="shared" si="8"/>
        <v>8968</v>
      </c>
    </row>
    <row r="531" spans="1:5" x14ac:dyDescent="0.25">
      <c r="A531" s="29">
        <v>45851</v>
      </c>
      <c r="B531" s="27" t="s">
        <v>51</v>
      </c>
      <c r="C531" s="17">
        <v>1300</v>
      </c>
      <c r="D531" s="17"/>
      <c r="E531" s="28">
        <f t="shared" si="8"/>
        <v>7668</v>
      </c>
    </row>
    <row r="532" spans="1:5" x14ac:dyDescent="0.25">
      <c r="A532" s="29">
        <v>45851</v>
      </c>
      <c r="B532" s="27" t="s">
        <v>31</v>
      </c>
      <c r="C532" s="17">
        <v>275</v>
      </c>
      <c r="D532" s="17"/>
      <c r="E532" s="28">
        <f t="shared" si="8"/>
        <v>7393</v>
      </c>
    </row>
    <row r="533" spans="1:5" x14ac:dyDescent="0.25">
      <c r="A533" s="29">
        <v>45852</v>
      </c>
      <c r="B533" s="27" t="s">
        <v>31</v>
      </c>
      <c r="C533" s="17">
        <f>150*2.5</f>
        <v>375</v>
      </c>
      <c r="D533" s="17"/>
      <c r="E533" s="28">
        <f t="shared" si="8"/>
        <v>7018</v>
      </c>
    </row>
    <row r="534" spans="1:5" x14ac:dyDescent="0.25">
      <c r="A534" s="29">
        <v>45852</v>
      </c>
      <c r="B534" s="27" t="s">
        <v>51</v>
      </c>
      <c r="C534" s="17">
        <f>740*2.5</f>
        <v>1850</v>
      </c>
      <c r="D534" s="17"/>
      <c r="E534" s="28">
        <f t="shared" si="8"/>
        <v>5168</v>
      </c>
    </row>
    <row r="535" spans="1:5" x14ac:dyDescent="0.25">
      <c r="A535" s="29">
        <v>45853</v>
      </c>
      <c r="B535" s="27" t="s">
        <v>31</v>
      </c>
      <c r="C535" s="17">
        <f>800</f>
        <v>800</v>
      </c>
      <c r="D535" s="17"/>
      <c r="E535" s="28">
        <f t="shared" si="8"/>
        <v>4368</v>
      </c>
    </row>
    <row r="536" spans="1:5" x14ac:dyDescent="0.25">
      <c r="A536" s="29">
        <v>45854</v>
      </c>
      <c r="B536" s="27" t="s">
        <v>31</v>
      </c>
      <c r="C536" s="17">
        <f>305*2.5</f>
        <v>762.5</v>
      </c>
      <c r="D536" s="17"/>
      <c r="E536" s="28">
        <f t="shared" si="8"/>
        <v>3605.5</v>
      </c>
    </row>
    <row r="537" spans="1:5" x14ac:dyDescent="0.25">
      <c r="A537" s="29">
        <v>45855</v>
      </c>
      <c r="B537" s="27" t="s">
        <v>31</v>
      </c>
      <c r="C537" s="17">
        <f>100</f>
        <v>100</v>
      </c>
      <c r="D537" s="17"/>
      <c r="E537" s="28">
        <f t="shared" si="8"/>
        <v>3505.5</v>
      </c>
    </row>
    <row r="538" spans="1:5" x14ac:dyDescent="0.25">
      <c r="A538" s="29">
        <v>45857</v>
      </c>
      <c r="B538" s="27" t="s">
        <v>31</v>
      </c>
      <c r="C538" s="17">
        <f>825</f>
        <v>825</v>
      </c>
      <c r="D538" s="17"/>
      <c r="E538" s="28">
        <f t="shared" si="8"/>
        <v>2680.5</v>
      </c>
    </row>
    <row r="539" spans="1:5" x14ac:dyDescent="0.25">
      <c r="A539" s="29">
        <v>45858</v>
      </c>
      <c r="B539" s="27" t="s">
        <v>31</v>
      </c>
      <c r="C539" s="17">
        <f>400*2.5</f>
        <v>1000</v>
      </c>
      <c r="D539" s="17"/>
      <c r="E539" s="28">
        <f t="shared" si="8"/>
        <v>1680.5</v>
      </c>
    </row>
    <row r="540" spans="1:5" x14ac:dyDescent="0.25">
      <c r="A540" s="29">
        <v>45859</v>
      </c>
      <c r="B540" s="27" t="s">
        <v>31</v>
      </c>
      <c r="C540" s="17">
        <f>75</f>
        <v>75</v>
      </c>
      <c r="D540" s="17"/>
      <c r="E540" s="28">
        <f t="shared" si="8"/>
        <v>1605.5</v>
      </c>
    </row>
    <row r="541" spans="1:5" x14ac:dyDescent="0.25">
      <c r="A541" s="29">
        <v>45859</v>
      </c>
      <c r="B541" s="27" t="s">
        <v>51</v>
      </c>
      <c r="C541" s="17">
        <v>525</v>
      </c>
      <c r="D541" s="17"/>
      <c r="E541" s="28">
        <f t="shared" si="8"/>
        <v>1080.5</v>
      </c>
    </row>
    <row r="542" spans="1:5" x14ac:dyDescent="0.25">
      <c r="A542" s="29">
        <v>45859</v>
      </c>
      <c r="B542" s="27" t="s">
        <v>51</v>
      </c>
      <c r="C542" s="17">
        <v>1750</v>
      </c>
      <c r="D542" s="17"/>
      <c r="E542" s="28">
        <f t="shared" si="8"/>
        <v>-669.5</v>
      </c>
    </row>
    <row r="543" spans="1:5" x14ac:dyDescent="0.25">
      <c r="A543" s="29">
        <v>45861</v>
      </c>
      <c r="B543" s="27" t="s">
        <v>51</v>
      </c>
      <c r="C543" s="17">
        <f>250</f>
        <v>250</v>
      </c>
      <c r="D543" s="17"/>
      <c r="E543" s="28">
        <f t="shared" si="8"/>
        <v>-919.5</v>
      </c>
    </row>
    <row r="544" spans="1:5" x14ac:dyDescent="0.25">
      <c r="A544" s="29">
        <v>45862</v>
      </c>
      <c r="B544" s="27" t="s">
        <v>31</v>
      </c>
      <c r="C544" s="17">
        <f>200*2.5</f>
        <v>500</v>
      </c>
      <c r="D544" s="17"/>
      <c r="E544" s="28">
        <f t="shared" si="8"/>
        <v>-1419.5</v>
      </c>
    </row>
    <row r="545" spans="1:5" x14ac:dyDescent="0.25">
      <c r="A545" s="29">
        <v>45862</v>
      </c>
      <c r="B545" s="27" t="s">
        <v>51</v>
      </c>
      <c r="C545" s="17">
        <f>640*2.5</f>
        <v>1600</v>
      </c>
      <c r="D545" s="17"/>
      <c r="E545" s="28">
        <f t="shared" si="8"/>
        <v>-3019.5</v>
      </c>
    </row>
    <row r="546" spans="1:5" x14ac:dyDescent="0.25">
      <c r="A546" s="29">
        <v>45863</v>
      </c>
      <c r="B546" s="27" t="s">
        <v>51</v>
      </c>
      <c r="C546" s="17">
        <f>375</f>
        <v>375</v>
      </c>
      <c r="D546" s="17"/>
      <c r="E546" s="28">
        <f t="shared" si="8"/>
        <v>-3394.5</v>
      </c>
    </row>
    <row r="547" spans="1:5" x14ac:dyDescent="0.25">
      <c r="A547" s="29">
        <v>45864</v>
      </c>
      <c r="B547" s="27" t="s">
        <v>51</v>
      </c>
      <c r="C547" s="17">
        <f>400*2.5</f>
        <v>1000</v>
      </c>
      <c r="D547" s="17"/>
      <c r="E547" s="28">
        <f t="shared" si="8"/>
        <v>-4394.5</v>
      </c>
    </row>
    <row r="548" spans="1:5" x14ac:dyDescent="0.25">
      <c r="A548" s="29">
        <v>45865</v>
      </c>
      <c r="B548" s="27" t="s">
        <v>31</v>
      </c>
      <c r="C548" s="17">
        <f>500</f>
        <v>500</v>
      </c>
      <c r="D548" s="17"/>
      <c r="E548" s="28">
        <f t="shared" si="8"/>
        <v>-4894.5</v>
      </c>
    </row>
    <row r="549" spans="1:5" x14ac:dyDescent="0.25">
      <c r="A549" s="29">
        <v>45867</v>
      </c>
      <c r="B549" s="27" t="s">
        <v>31</v>
      </c>
      <c r="C549" s="17">
        <f>850</f>
        <v>850</v>
      </c>
      <c r="D549" s="17"/>
      <c r="E549" s="28">
        <f t="shared" si="8"/>
        <v>-5744.5</v>
      </c>
    </row>
    <row r="550" spans="1:5" x14ac:dyDescent="0.25">
      <c r="A550" s="29">
        <v>45868</v>
      </c>
      <c r="B550" s="27" t="s">
        <v>31</v>
      </c>
      <c r="C550" s="17">
        <f>2.5*50</f>
        <v>125</v>
      </c>
      <c r="D550" s="17"/>
      <c r="E550" s="28">
        <f t="shared" si="8"/>
        <v>-5869.5</v>
      </c>
    </row>
    <row r="551" spans="1:5" x14ac:dyDescent="0.25">
      <c r="A551" s="29"/>
      <c r="B551" s="27"/>
      <c r="C551" s="17"/>
      <c r="D551" s="17"/>
      <c r="E551" s="28">
        <f t="shared" si="8"/>
        <v>-5869.5</v>
      </c>
    </row>
    <row r="552" spans="1:5" x14ac:dyDescent="0.25">
      <c r="A552" s="29">
        <v>45870</v>
      </c>
      <c r="B552" s="27" t="s">
        <v>31</v>
      </c>
      <c r="C552" s="17">
        <f>90*2.5</f>
        <v>225</v>
      </c>
      <c r="D552" s="17"/>
      <c r="E552" s="28">
        <f t="shared" si="8"/>
        <v>-6094.5</v>
      </c>
    </row>
    <row r="553" spans="1:5" x14ac:dyDescent="0.25">
      <c r="A553" s="29">
        <v>45870</v>
      </c>
      <c r="B553" s="27" t="s">
        <v>51</v>
      </c>
      <c r="C553" s="17">
        <f>200*2.5</f>
        <v>500</v>
      </c>
      <c r="D553" s="17"/>
      <c r="E553" s="28">
        <f t="shared" si="8"/>
        <v>-6594.5</v>
      </c>
    </row>
    <row r="554" spans="1:5" x14ac:dyDescent="0.25">
      <c r="A554" s="29">
        <v>45870</v>
      </c>
      <c r="B554" s="27" t="s">
        <v>49</v>
      </c>
      <c r="C554" s="17"/>
      <c r="D554" s="17">
        <f>15000</f>
        <v>15000</v>
      </c>
      <c r="E554" s="28">
        <f t="shared" si="8"/>
        <v>8405.5</v>
      </c>
    </row>
    <row r="555" spans="1:5" x14ac:dyDescent="0.25">
      <c r="A555" s="29">
        <v>45872</v>
      </c>
      <c r="B555" s="27" t="s">
        <v>51</v>
      </c>
      <c r="C555" s="17">
        <f>700*2.5</f>
        <v>1750</v>
      </c>
      <c r="D555" s="17"/>
      <c r="E555" s="28">
        <f t="shared" si="8"/>
        <v>6655.5</v>
      </c>
    </row>
    <row r="556" spans="1:5" x14ac:dyDescent="0.25">
      <c r="A556" s="29">
        <v>45874</v>
      </c>
      <c r="B556" s="27" t="s">
        <v>31</v>
      </c>
      <c r="C556" s="17">
        <f>250</f>
        <v>250</v>
      </c>
      <c r="D556" s="17"/>
      <c r="E556" s="28">
        <f t="shared" si="8"/>
        <v>6405.5</v>
      </c>
    </row>
    <row r="557" spans="1:5" x14ac:dyDescent="0.25">
      <c r="A557" s="29">
        <v>45875</v>
      </c>
      <c r="B557" s="27" t="s">
        <v>31</v>
      </c>
      <c r="C557" s="17">
        <f>250</f>
        <v>250</v>
      </c>
      <c r="D557" s="17"/>
      <c r="E557" s="28">
        <f t="shared" si="8"/>
        <v>6155.5</v>
      </c>
    </row>
    <row r="558" spans="1:5" x14ac:dyDescent="0.25">
      <c r="A558" s="29">
        <v>45876</v>
      </c>
      <c r="B558" s="27" t="s">
        <v>51</v>
      </c>
      <c r="C558" s="17">
        <f>1550</f>
        <v>1550</v>
      </c>
      <c r="D558" s="17"/>
      <c r="E558" s="28">
        <f t="shared" si="8"/>
        <v>4605.5</v>
      </c>
    </row>
    <row r="559" spans="1:5" x14ac:dyDescent="0.25">
      <c r="A559" s="29">
        <v>45877</v>
      </c>
      <c r="B559" s="27" t="s">
        <v>31</v>
      </c>
      <c r="C559" s="17">
        <v>250</v>
      </c>
      <c r="D559" s="17"/>
      <c r="E559" s="28">
        <f t="shared" si="8"/>
        <v>4355.5</v>
      </c>
    </row>
    <row r="560" spans="1:5" x14ac:dyDescent="0.25">
      <c r="A560" s="29">
        <v>45879</v>
      </c>
      <c r="B560" s="27" t="s">
        <v>31</v>
      </c>
      <c r="C560" s="17">
        <f>675</f>
        <v>675</v>
      </c>
      <c r="D560" s="17"/>
      <c r="E560" s="28">
        <f t="shared" si="8"/>
        <v>3680.5</v>
      </c>
    </row>
    <row r="561" spans="1:5" x14ac:dyDescent="0.25">
      <c r="A561" s="29">
        <v>45881</v>
      </c>
      <c r="B561" s="27" t="s">
        <v>31</v>
      </c>
      <c r="C561" s="17">
        <f>400*2.5</f>
        <v>1000</v>
      </c>
      <c r="D561" s="17"/>
      <c r="E561" s="28">
        <f t="shared" si="8"/>
        <v>2680.5</v>
      </c>
    </row>
    <row r="562" spans="1:5" x14ac:dyDescent="0.25">
      <c r="A562" s="29">
        <v>45882</v>
      </c>
      <c r="B562" s="27" t="s">
        <v>51</v>
      </c>
      <c r="C562" s="17">
        <f>150*2.5</f>
        <v>375</v>
      </c>
      <c r="D562" s="17"/>
      <c r="E562" s="28">
        <f t="shared" si="8"/>
        <v>2305.5</v>
      </c>
    </row>
    <row r="563" spans="1:5" x14ac:dyDescent="0.25">
      <c r="A563" s="29">
        <v>45883</v>
      </c>
      <c r="B563" s="27" t="s">
        <v>51</v>
      </c>
      <c r="C563" s="17">
        <f>300*2.5</f>
        <v>750</v>
      </c>
      <c r="D563" s="17"/>
      <c r="E563" s="28">
        <f t="shared" si="8"/>
        <v>1555.5</v>
      </c>
    </row>
    <row r="564" spans="1:5" x14ac:dyDescent="0.25">
      <c r="A564" s="29">
        <v>45884</v>
      </c>
      <c r="B564" s="27" t="s">
        <v>31</v>
      </c>
      <c r="C564" s="17">
        <f>210*2.5</f>
        <v>525</v>
      </c>
      <c r="D564" s="17"/>
      <c r="E564" s="28">
        <f t="shared" si="8"/>
        <v>1030.5</v>
      </c>
    </row>
    <row r="565" spans="1:5" x14ac:dyDescent="0.25">
      <c r="A565" s="29">
        <v>45885</v>
      </c>
      <c r="B565" s="27" t="s">
        <v>31</v>
      </c>
      <c r="C565" s="17">
        <f>220*2.5</f>
        <v>550</v>
      </c>
      <c r="D565" s="17"/>
      <c r="E565" s="28">
        <f t="shared" si="8"/>
        <v>480.5</v>
      </c>
    </row>
    <row r="566" spans="1:5" x14ac:dyDescent="0.25">
      <c r="A566" s="29">
        <v>45887</v>
      </c>
      <c r="B566" s="27" t="s">
        <v>31</v>
      </c>
      <c r="C566" s="17">
        <f>200*2.5</f>
        <v>500</v>
      </c>
      <c r="D566" s="17"/>
      <c r="E566" s="28">
        <f t="shared" si="8"/>
        <v>-19.5</v>
      </c>
    </row>
    <row r="567" spans="1:5" x14ac:dyDescent="0.25">
      <c r="A567" s="29">
        <v>45888</v>
      </c>
      <c r="B567" s="27" t="s">
        <v>31</v>
      </c>
      <c r="C567" s="17">
        <f>225</f>
        <v>225</v>
      </c>
      <c r="D567" s="17"/>
      <c r="E567" s="28">
        <f t="shared" si="8"/>
        <v>-244.5</v>
      </c>
    </row>
    <row r="568" spans="1:5" x14ac:dyDescent="0.25">
      <c r="A568" s="29">
        <v>45889</v>
      </c>
      <c r="B568" s="27" t="s">
        <v>31</v>
      </c>
      <c r="C568" s="17">
        <f>120*2.5</f>
        <v>300</v>
      </c>
      <c r="D568" s="17"/>
      <c r="E568" s="28">
        <f t="shared" si="8"/>
        <v>-544.5</v>
      </c>
    </row>
    <row r="569" spans="1:5" x14ac:dyDescent="0.25">
      <c r="A569" s="29">
        <v>45890</v>
      </c>
      <c r="B569" s="27" t="s">
        <v>51</v>
      </c>
      <c r="C569" s="17">
        <f>700*2.5</f>
        <v>1750</v>
      </c>
      <c r="D569" s="17"/>
      <c r="E569" s="28">
        <f t="shared" si="8"/>
        <v>-2294.5</v>
      </c>
    </row>
    <row r="570" spans="1:5" x14ac:dyDescent="0.25">
      <c r="A570" s="29">
        <v>45891</v>
      </c>
      <c r="B570" s="27" t="s">
        <v>51</v>
      </c>
      <c r="C570" s="17">
        <f>50*2.5</f>
        <v>125</v>
      </c>
      <c r="D570" s="17"/>
      <c r="E570" s="28">
        <f t="shared" si="8"/>
        <v>-2419.5</v>
      </c>
    </row>
    <row r="571" spans="1:5" x14ac:dyDescent="0.25">
      <c r="A571" s="29">
        <v>45892</v>
      </c>
      <c r="B571" s="27" t="s">
        <v>31</v>
      </c>
      <c r="C571" s="17">
        <f>150*2.5</f>
        <v>375</v>
      </c>
      <c r="D571" s="17"/>
      <c r="E571" s="28">
        <f t="shared" si="8"/>
        <v>-2794.5</v>
      </c>
    </row>
    <row r="572" spans="1:5" x14ac:dyDescent="0.25">
      <c r="A572" s="29">
        <v>45893</v>
      </c>
      <c r="B572" s="27" t="s">
        <v>31</v>
      </c>
      <c r="C572" s="17">
        <f>150*2.5</f>
        <v>375</v>
      </c>
      <c r="D572" s="17"/>
      <c r="E572" s="28">
        <f t="shared" si="8"/>
        <v>-3169.5</v>
      </c>
    </row>
    <row r="573" spans="1:5" x14ac:dyDescent="0.25">
      <c r="A573" s="29">
        <v>45894</v>
      </c>
      <c r="B573" s="27" t="s">
        <v>31</v>
      </c>
      <c r="C573" s="17">
        <f>250</f>
        <v>250</v>
      </c>
      <c r="D573" s="17"/>
      <c r="E573" s="28">
        <f t="shared" si="8"/>
        <v>-3419.5</v>
      </c>
    </row>
    <row r="574" spans="1:5" x14ac:dyDescent="0.25">
      <c r="A574" s="29">
        <v>45896</v>
      </c>
      <c r="B574" s="27" t="s">
        <v>31</v>
      </c>
      <c r="C574" s="17">
        <f>375</f>
        <v>375</v>
      </c>
      <c r="D574" s="17"/>
      <c r="E574" s="28">
        <f t="shared" si="8"/>
        <v>-3794.5</v>
      </c>
    </row>
    <row r="575" spans="1:5" x14ac:dyDescent="0.25">
      <c r="A575" s="29">
        <v>45896</v>
      </c>
      <c r="B575" s="27" t="s">
        <v>49</v>
      </c>
      <c r="C575" s="17"/>
      <c r="D575" s="17">
        <f>10000</f>
        <v>10000</v>
      </c>
      <c r="E575" s="28">
        <f t="shared" si="8"/>
        <v>6205.5</v>
      </c>
    </row>
    <row r="576" spans="1:5" x14ac:dyDescent="0.25">
      <c r="A576" s="29">
        <v>45897</v>
      </c>
      <c r="B576" s="27" t="s">
        <v>31</v>
      </c>
      <c r="C576" s="17">
        <f>80*2.5</f>
        <v>200</v>
      </c>
      <c r="D576" s="17"/>
      <c r="E576" s="28">
        <f t="shared" si="8"/>
        <v>6005.5</v>
      </c>
    </row>
    <row r="577" spans="1:5" x14ac:dyDescent="0.25">
      <c r="A577" s="29">
        <v>45899</v>
      </c>
      <c r="B577" s="27" t="s">
        <v>31</v>
      </c>
      <c r="C577" s="17">
        <f>150*2.5</f>
        <v>375</v>
      </c>
      <c r="D577" s="17"/>
      <c r="E577" s="28">
        <f t="shared" si="8"/>
        <v>5630.5</v>
      </c>
    </row>
    <row r="578" spans="1:5" x14ac:dyDescent="0.25">
      <c r="A578" s="29"/>
      <c r="B578" s="27"/>
      <c r="C578" s="17"/>
      <c r="D578" s="17"/>
      <c r="E578" s="28">
        <f t="shared" si="8"/>
        <v>5630.5</v>
      </c>
    </row>
    <row r="579" spans="1:5" x14ac:dyDescent="0.25">
      <c r="A579" s="29">
        <v>45901</v>
      </c>
      <c r="B579" s="27" t="s">
        <v>31</v>
      </c>
      <c r="C579" s="17">
        <f>532*2.5</f>
        <v>1330</v>
      </c>
      <c r="D579" s="17"/>
      <c r="E579" s="28">
        <f t="shared" si="8"/>
        <v>4300.5</v>
      </c>
    </row>
    <row r="580" spans="1:5" x14ac:dyDescent="0.25">
      <c r="A580" s="29">
        <v>45902</v>
      </c>
      <c r="B580" s="27" t="s">
        <v>31</v>
      </c>
      <c r="C580" s="17">
        <f>160*2.5</f>
        <v>400</v>
      </c>
      <c r="D580" s="17"/>
      <c r="E580" s="28">
        <f t="shared" si="8"/>
        <v>3900.5</v>
      </c>
    </row>
    <row r="581" spans="1:5" x14ac:dyDescent="0.25">
      <c r="A581" s="29">
        <v>45904</v>
      </c>
      <c r="B581" s="27" t="s">
        <v>51</v>
      </c>
      <c r="C581" s="17">
        <f>840*2.5</f>
        <v>2100</v>
      </c>
      <c r="D581" s="17"/>
      <c r="E581" s="28">
        <f t="shared" si="8"/>
        <v>1800.5</v>
      </c>
    </row>
    <row r="582" spans="1:5" x14ac:dyDescent="0.25">
      <c r="A582" s="29">
        <v>45905</v>
      </c>
      <c r="B582" s="27" t="s">
        <v>51</v>
      </c>
      <c r="C582" s="17">
        <f>840*2.5</f>
        <v>2100</v>
      </c>
      <c r="D582" s="17"/>
      <c r="E582" s="28">
        <f t="shared" ref="E582:E645" si="9">E581+D582-C582</f>
        <v>-299.5</v>
      </c>
    </row>
    <row r="583" spans="1:5" x14ac:dyDescent="0.25">
      <c r="A583" s="29">
        <v>45905</v>
      </c>
      <c r="B583" s="27" t="s">
        <v>31</v>
      </c>
      <c r="C583" s="17">
        <f>200*2.5</f>
        <v>500</v>
      </c>
      <c r="D583" s="17"/>
      <c r="E583" s="28">
        <f t="shared" si="9"/>
        <v>-799.5</v>
      </c>
    </row>
    <row r="584" spans="1:5" x14ac:dyDescent="0.25">
      <c r="A584" s="29">
        <v>45906</v>
      </c>
      <c r="B584" s="27" t="s">
        <v>31</v>
      </c>
      <c r="C584" s="17">
        <f>415*2.5</f>
        <v>1037.5</v>
      </c>
      <c r="D584" s="17"/>
      <c r="E584" s="28">
        <f t="shared" si="9"/>
        <v>-1837</v>
      </c>
    </row>
    <row r="585" spans="1:5" x14ac:dyDescent="0.25">
      <c r="A585" s="29">
        <v>45910</v>
      </c>
      <c r="B585" s="27" t="s">
        <v>31</v>
      </c>
      <c r="C585" s="17">
        <f>255*2.5</f>
        <v>637.5</v>
      </c>
      <c r="D585" s="17"/>
      <c r="E585" s="28">
        <f t="shared" si="9"/>
        <v>-2474.5</v>
      </c>
    </row>
    <row r="586" spans="1:5" x14ac:dyDescent="0.25">
      <c r="A586" s="29">
        <v>45912</v>
      </c>
      <c r="B586" s="27" t="s">
        <v>31</v>
      </c>
      <c r="C586" s="17">
        <f>110*2.5</f>
        <v>275</v>
      </c>
      <c r="D586" s="17"/>
      <c r="E586" s="28">
        <f t="shared" si="9"/>
        <v>-2749.5</v>
      </c>
    </row>
    <row r="587" spans="1:5" x14ac:dyDescent="0.25">
      <c r="A587" s="29">
        <v>45913</v>
      </c>
      <c r="B587" s="27" t="s">
        <v>31</v>
      </c>
      <c r="C587" s="17">
        <f>440*2.5</f>
        <v>1100</v>
      </c>
      <c r="D587" s="17"/>
      <c r="E587" s="28">
        <f t="shared" si="9"/>
        <v>-3849.5</v>
      </c>
    </row>
    <row r="588" spans="1:5" x14ac:dyDescent="0.25">
      <c r="A588" s="29">
        <v>45916</v>
      </c>
      <c r="B588" s="27" t="s">
        <v>51</v>
      </c>
      <c r="C588" s="17">
        <f>740*2.5</f>
        <v>1850</v>
      </c>
      <c r="D588" s="17"/>
      <c r="E588" s="28">
        <f t="shared" si="9"/>
        <v>-5699.5</v>
      </c>
    </row>
    <row r="589" spans="1:5" x14ac:dyDescent="0.25">
      <c r="A589" s="29">
        <v>45917</v>
      </c>
      <c r="B589" s="27" t="s">
        <v>51</v>
      </c>
      <c r="C589" s="17">
        <f>700*2.5</f>
        <v>1750</v>
      </c>
      <c r="D589" s="17"/>
      <c r="E589" s="28">
        <f t="shared" si="9"/>
        <v>-7449.5</v>
      </c>
    </row>
    <row r="590" spans="1:5" x14ac:dyDescent="0.25">
      <c r="A590" s="29">
        <v>45918</v>
      </c>
      <c r="B590" s="27" t="s">
        <v>49</v>
      </c>
      <c r="C590" s="17"/>
      <c r="D590" s="17">
        <f>10000</f>
        <v>10000</v>
      </c>
      <c r="E590" s="28">
        <f t="shared" si="9"/>
        <v>2550.5</v>
      </c>
    </row>
    <row r="591" spans="1:5" x14ac:dyDescent="0.25">
      <c r="A591" s="29">
        <v>45919</v>
      </c>
      <c r="B591" s="27" t="s">
        <v>31</v>
      </c>
      <c r="C591" s="17">
        <f>250</f>
        <v>250</v>
      </c>
      <c r="D591" s="17"/>
      <c r="E591" s="28">
        <f t="shared" si="9"/>
        <v>2300.5</v>
      </c>
    </row>
    <row r="592" spans="1:5" x14ac:dyDescent="0.25">
      <c r="A592" s="29">
        <v>45920</v>
      </c>
      <c r="B592" s="27" t="s">
        <v>31</v>
      </c>
      <c r="C592" s="17">
        <f>350*2.5</f>
        <v>875</v>
      </c>
      <c r="D592" s="17"/>
      <c r="E592" s="28">
        <f t="shared" si="9"/>
        <v>1425.5</v>
      </c>
    </row>
    <row r="593" spans="1:5" x14ac:dyDescent="0.25">
      <c r="A593" s="29">
        <v>45921</v>
      </c>
      <c r="B593" s="27" t="s">
        <v>31</v>
      </c>
      <c r="C593" s="17">
        <f>200*2.5</f>
        <v>500</v>
      </c>
      <c r="D593" s="17"/>
      <c r="E593" s="28">
        <f t="shared" si="9"/>
        <v>925.5</v>
      </c>
    </row>
    <row r="594" spans="1:5" x14ac:dyDescent="0.25">
      <c r="A594" s="29">
        <v>45922</v>
      </c>
      <c r="B594" s="27" t="s">
        <v>31</v>
      </c>
      <c r="C594" s="17">
        <f>320*2.5</f>
        <v>800</v>
      </c>
      <c r="D594" s="17"/>
      <c r="E594" s="28">
        <f t="shared" si="9"/>
        <v>125.5</v>
      </c>
    </row>
    <row r="595" spans="1:5" x14ac:dyDescent="0.25">
      <c r="A595" s="29">
        <v>45923</v>
      </c>
      <c r="B595" s="27" t="s">
        <v>31</v>
      </c>
      <c r="C595" s="17">
        <f>95*2.5</f>
        <v>237.5</v>
      </c>
      <c r="D595" s="17"/>
      <c r="E595" s="28">
        <f t="shared" si="9"/>
        <v>-112</v>
      </c>
    </row>
    <row r="596" spans="1:5" x14ac:dyDescent="0.25">
      <c r="A596" s="29">
        <v>45928</v>
      </c>
      <c r="B596" s="27" t="s">
        <v>31</v>
      </c>
      <c r="C596" s="17">
        <f>250</f>
        <v>250</v>
      </c>
      <c r="D596" s="17"/>
      <c r="E596" s="28">
        <f t="shared" si="9"/>
        <v>-362</v>
      </c>
    </row>
    <row r="597" spans="1:5" x14ac:dyDescent="0.25">
      <c r="A597" s="29">
        <v>45929</v>
      </c>
      <c r="B597" s="27" t="s">
        <v>31</v>
      </c>
      <c r="C597" s="17">
        <f>130*2.5</f>
        <v>325</v>
      </c>
      <c r="D597" s="17"/>
      <c r="E597" s="28">
        <f t="shared" si="9"/>
        <v>-687</v>
      </c>
    </row>
    <row r="598" spans="1:5" x14ac:dyDescent="0.25">
      <c r="A598" s="29"/>
      <c r="B598" s="27"/>
      <c r="C598" s="17"/>
      <c r="D598" s="17"/>
      <c r="E598" s="28">
        <f t="shared" si="9"/>
        <v>-687</v>
      </c>
    </row>
    <row r="599" spans="1:5" x14ac:dyDescent="0.25">
      <c r="A599" s="29">
        <v>45931</v>
      </c>
      <c r="B599" s="27" t="s">
        <v>51</v>
      </c>
      <c r="C599" s="17">
        <f>700*2.5</f>
        <v>1750</v>
      </c>
      <c r="D599" s="17"/>
      <c r="E599" s="28">
        <f t="shared" si="9"/>
        <v>-2437</v>
      </c>
    </row>
    <row r="600" spans="1:5" x14ac:dyDescent="0.25">
      <c r="A600" s="29">
        <v>45933</v>
      </c>
      <c r="B600" s="27" t="s">
        <v>31</v>
      </c>
      <c r="C600" s="17">
        <f>50*2.5</f>
        <v>125</v>
      </c>
      <c r="D600" s="17"/>
      <c r="E600" s="28">
        <f t="shared" si="9"/>
        <v>-2562</v>
      </c>
    </row>
    <row r="601" spans="1:5" x14ac:dyDescent="0.25">
      <c r="A601" s="29">
        <v>45934</v>
      </c>
      <c r="B601" s="27" t="s">
        <v>31</v>
      </c>
      <c r="C601" s="17">
        <f>250</f>
        <v>250</v>
      </c>
      <c r="D601" s="17"/>
      <c r="E601" s="28">
        <f t="shared" si="9"/>
        <v>-2812</v>
      </c>
    </row>
    <row r="602" spans="1:5" x14ac:dyDescent="0.25">
      <c r="A602" s="29">
        <v>45935</v>
      </c>
      <c r="B602" s="27" t="s">
        <v>31</v>
      </c>
      <c r="C602" s="17">
        <f>250</f>
        <v>250</v>
      </c>
      <c r="D602" s="17"/>
      <c r="E602" s="28">
        <f t="shared" si="9"/>
        <v>-3062</v>
      </c>
    </row>
    <row r="603" spans="1:5" x14ac:dyDescent="0.25">
      <c r="A603" s="29">
        <v>45939</v>
      </c>
      <c r="B603" s="27" t="s">
        <v>51</v>
      </c>
      <c r="C603" s="17">
        <f>150*2.5</f>
        <v>375</v>
      </c>
      <c r="D603" s="17"/>
      <c r="E603" s="28">
        <f t="shared" si="9"/>
        <v>-3437</v>
      </c>
    </row>
    <row r="604" spans="1:5" x14ac:dyDescent="0.25">
      <c r="A604" s="29">
        <v>45939</v>
      </c>
      <c r="B604" s="27" t="s">
        <v>31</v>
      </c>
      <c r="C604" s="17">
        <f>110*2.5</f>
        <v>275</v>
      </c>
      <c r="D604" s="17"/>
      <c r="E604" s="28">
        <f t="shared" si="9"/>
        <v>-3712</v>
      </c>
    </row>
    <row r="605" spans="1:5" x14ac:dyDescent="0.25">
      <c r="A605" s="29">
        <v>45940</v>
      </c>
      <c r="B605" s="27" t="s">
        <v>51</v>
      </c>
      <c r="C605" s="17">
        <f>350*2.5</f>
        <v>875</v>
      </c>
      <c r="D605" s="17"/>
      <c r="E605" s="28">
        <f t="shared" si="9"/>
        <v>-4587</v>
      </c>
    </row>
    <row r="606" spans="1:5" x14ac:dyDescent="0.25">
      <c r="A606" s="29">
        <v>45941</v>
      </c>
      <c r="B606" s="27" t="s">
        <v>31</v>
      </c>
      <c r="C606" s="17">
        <f>435*2.5</f>
        <v>1087.5</v>
      </c>
      <c r="D606" s="17"/>
      <c r="E606" s="28">
        <f t="shared" si="9"/>
        <v>-5674.5</v>
      </c>
    </row>
    <row r="607" spans="1:5" x14ac:dyDescent="0.25">
      <c r="A607" s="29">
        <v>45941</v>
      </c>
      <c r="B607" s="27" t="s">
        <v>49</v>
      </c>
      <c r="C607" s="17"/>
      <c r="D607" s="17">
        <f>15000</f>
        <v>15000</v>
      </c>
      <c r="E607" s="28">
        <f t="shared" si="9"/>
        <v>9325.5</v>
      </c>
    </row>
    <row r="608" spans="1:5" x14ac:dyDescent="0.25">
      <c r="A608" s="29">
        <v>45942</v>
      </c>
      <c r="B608" s="27" t="s">
        <v>31</v>
      </c>
      <c r="C608" s="17">
        <f>50*2.5</f>
        <v>125</v>
      </c>
      <c r="D608" s="17"/>
      <c r="E608" s="28">
        <f t="shared" si="9"/>
        <v>9200.5</v>
      </c>
    </row>
    <row r="609" spans="1:5" x14ac:dyDescent="0.25">
      <c r="A609" s="29">
        <v>45944</v>
      </c>
      <c r="B609" s="27" t="s">
        <v>31</v>
      </c>
      <c r="C609" s="17">
        <f>250*2.5</f>
        <v>625</v>
      </c>
      <c r="D609" s="17"/>
      <c r="E609" s="28">
        <f t="shared" si="9"/>
        <v>8575.5</v>
      </c>
    </row>
    <row r="610" spans="1:5" x14ac:dyDescent="0.25">
      <c r="A610" s="29">
        <v>45945</v>
      </c>
      <c r="B610" s="27" t="s">
        <v>31</v>
      </c>
      <c r="C610" s="17">
        <f>150*2.5</f>
        <v>375</v>
      </c>
      <c r="D610" s="17"/>
      <c r="E610" s="28">
        <f t="shared" si="9"/>
        <v>8200.5</v>
      </c>
    </row>
    <row r="611" spans="1:5" x14ac:dyDescent="0.25">
      <c r="A611" s="29">
        <v>45947</v>
      </c>
      <c r="B611" s="27" t="s">
        <v>51</v>
      </c>
      <c r="C611" s="17">
        <f>700*2.5</f>
        <v>1750</v>
      </c>
      <c r="D611" s="17"/>
      <c r="E611" s="28">
        <f t="shared" si="9"/>
        <v>6450.5</v>
      </c>
    </row>
    <row r="612" spans="1:5" x14ac:dyDescent="0.25">
      <c r="A612" s="29">
        <v>45951</v>
      </c>
      <c r="B612" s="27" t="s">
        <v>31</v>
      </c>
      <c r="C612" s="17">
        <f>150*2.5</f>
        <v>375</v>
      </c>
      <c r="D612" s="17"/>
      <c r="E612" s="28">
        <f t="shared" si="9"/>
        <v>6075.5</v>
      </c>
    </row>
    <row r="613" spans="1:5" x14ac:dyDescent="0.25">
      <c r="A613" s="29">
        <v>45953</v>
      </c>
      <c r="B613" s="27" t="s">
        <v>31</v>
      </c>
      <c r="C613" s="17">
        <f>150*2.5</f>
        <v>375</v>
      </c>
      <c r="D613" s="17"/>
      <c r="E613" s="28">
        <f t="shared" si="9"/>
        <v>5700.5</v>
      </c>
    </row>
    <row r="614" spans="1:5" x14ac:dyDescent="0.25">
      <c r="A614" s="29">
        <v>45954</v>
      </c>
      <c r="B614" s="27" t="s">
        <v>51</v>
      </c>
      <c r="C614" s="17">
        <f>680*2.5</f>
        <v>1700</v>
      </c>
      <c r="D614" s="17"/>
      <c r="E614" s="28">
        <f t="shared" si="9"/>
        <v>4000.5</v>
      </c>
    </row>
    <row r="615" spans="1:5" x14ac:dyDescent="0.25">
      <c r="A615" s="29">
        <v>45954</v>
      </c>
      <c r="B615" s="27" t="s">
        <v>31</v>
      </c>
      <c r="C615" s="17">
        <f>605*2.5</f>
        <v>1512.5</v>
      </c>
      <c r="D615" s="17"/>
      <c r="E615" s="28">
        <f t="shared" si="9"/>
        <v>2488</v>
      </c>
    </row>
    <row r="616" spans="1:5" x14ac:dyDescent="0.25">
      <c r="A616" s="29">
        <v>45955</v>
      </c>
      <c r="B616" s="27" t="s">
        <v>31</v>
      </c>
      <c r="C616" s="17">
        <f>250</f>
        <v>250</v>
      </c>
      <c r="D616" s="17"/>
      <c r="E616" s="28">
        <f t="shared" si="9"/>
        <v>2238</v>
      </c>
    </row>
    <row r="617" spans="1:5" x14ac:dyDescent="0.25">
      <c r="A617" s="29">
        <v>45958</v>
      </c>
      <c r="B617" s="27" t="s">
        <v>31</v>
      </c>
      <c r="C617" s="17">
        <f>170*2.5</f>
        <v>425</v>
      </c>
      <c r="D617" s="17"/>
      <c r="E617" s="28">
        <f t="shared" si="9"/>
        <v>1813</v>
      </c>
    </row>
    <row r="618" spans="1:5" x14ac:dyDescent="0.25">
      <c r="A618" s="29">
        <v>45959</v>
      </c>
      <c r="B618" s="27" t="s">
        <v>31</v>
      </c>
      <c r="C618" s="17">
        <f>250*2.5</f>
        <v>625</v>
      </c>
      <c r="D618" s="17"/>
      <c r="E618" s="28">
        <f t="shared" si="9"/>
        <v>1188</v>
      </c>
    </row>
    <row r="619" spans="1:5" x14ac:dyDescent="0.25">
      <c r="A619" s="29">
        <v>45960</v>
      </c>
      <c r="B619" s="27" t="s">
        <v>31</v>
      </c>
      <c r="C619" s="17">
        <f>95*2.5</f>
        <v>237.5</v>
      </c>
      <c r="D619" s="17"/>
      <c r="E619" s="28">
        <f t="shared" si="9"/>
        <v>950.5</v>
      </c>
    </row>
    <row r="620" spans="1:5" x14ac:dyDescent="0.25">
      <c r="A620" s="29">
        <v>45961</v>
      </c>
      <c r="B620" s="27" t="s">
        <v>31</v>
      </c>
      <c r="C620" s="17">
        <f>250</f>
        <v>250</v>
      </c>
      <c r="D620" s="17"/>
      <c r="E620" s="28">
        <f t="shared" si="9"/>
        <v>700.5</v>
      </c>
    </row>
    <row r="621" spans="1:5" x14ac:dyDescent="0.25">
      <c r="A621" s="29">
        <v>45961</v>
      </c>
      <c r="B621" s="27" t="s">
        <v>114</v>
      </c>
      <c r="C621" s="17">
        <f>800</f>
        <v>800</v>
      </c>
      <c r="D621" s="17"/>
      <c r="E621" s="28">
        <f t="shared" si="9"/>
        <v>-99.5</v>
      </c>
    </row>
    <row r="622" spans="1:5" x14ac:dyDescent="0.25">
      <c r="A622" s="29"/>
      <c r="B622" s="27"/>
      <c r="C622" s="17"/>
      <c r="D622" s="17"/>
      <c r="E622" s="28">
        <f t="shared" si="9"/>
        <v>-99.5</v>
      </c>
    </row>
    <row r="623" spans="1:5" x14ac:dyDescent="0.25">
      <c r="A623" s="29">
        <v>45962</v>
      </c>
      <c r="B623" s="27" t="s">
        <v>31</v>
      </c>
      <c r="C623" s="17">
        <f>170*2.5</f>
        <v>425</v>
      </c>
      <c r="D623" s="17"/>
      <c r="E623" s="28">
        <f t="shared" si="9"/>
        <v>-524.5</v>
      </c>
    </row>
    <row r="624" spans="1:5" x14ac:dyDescent="0.25">
      <c r="A624" s="29">
        <v>45963</v>
      </c>
      <c r="B624" s="27" t="s">
        <v>122</v>
      </c>
      <c r="C624" s="17"/>
      <c r="D624" s="17">
        <f>10000</f>
        <v>10000</v>
      </c>
      <c r="E624" s="28">
        <f t="shared" si="9"/>
        <v>9475.5</v>
      </c>
    </row>
    <row r="625" spans="1:5" x14ac:dyDescent="0.25">
      <c r="A625" s="29">
        <v>45964</v>
      </c>
      <c r="B625" s="27" t="s">
        <v>31</v>
      </c>
      <c r="C625" s="17">
        <f>250</f>
        <v>250</v>
      </c>
      <c r="D625" s="17"/>
      <c r="E625" s="28">
        <f t="shared" si="9"/>
        <v>9225.5</v>
      </c>
    </row>
    <row r="626" spans="1:5" x14ac:dyDescent="0.25">
      <c r="A626" s="29">
        <v>45966</v>
      </c>
      <c r="B626" s="27" t="s">
        <v>31</v>
      </c>
      <c r="C626" s="17">
        <f>165*2.5</f>
        <v>412.5</v>
      </c>
      <c r="D626" s="17"/>
      <c r="E626" s="28">
        <f t="shared" si="9"/>
        <v>8813</v>
      </c>
    </row>
    <row r="627" spans="1:5" x14ac:dyDescent="0.25">
      <c r="A627" s="29">
        <v>45966</v>
      </c>
      <c r="B627" s="27" t="s">
        <v>51</v>
      </c>
      <c r="C627" s="17">
        <f>840*2.5</f>
        <v>2100</v>
      </c>
      <c r="D627" s="17"/>
      <c r="E627" s="28">
        <f t="shared" si="9"/>
        <v>6713</v>
      </c>
    </row>
    <row r="628" spans="1:5" x14ac:dyDescent="0.25">
      <c r="A628" s="29">
        <v>45967</v>
      </c>
      <c r="B628" s="27" t="s">
        <v>51</v>
      </c>
      <c r="C628" s="17">
        <f>550*2.5</f>
        <v>1375</v>
      </c>
      <c r="D628" s="17"/>
      <c r="E628" s="28">
        <f t="shared" si="9"/>
        <v>5338</v>
      </c>
    </row>
    <row r="629" spans="1:5" x14ac:dyDescent="0.25">
      <c r="A629" s="29">
        <v>45968</v>
      </c>
      <c r="B629" s="27" t="s">
        <v>31</v>
      </c>
      <c r="C629" s="17">
        <f>220*2.5</f>
        <v>550</v>
      </c>
      <c r="D629" s="17"/>
      <c r="E629" s="28">
        <f t="shared" si="9"/>
        <v>4788</v>
      </c>
    </row>
    <row r="630" spans="1:5" x14ac:dyDescent="0.25">
      <c r="A630" s="29">
        <v>45969</v>
      </c>
      <c r="B630" s="27" t="s">
        <v>31</v>
      </c>
      <c r="C630" s="17">
        <f>250</f>
        <v>250</v>
      </c>
      <c r="D630" s="17"/>
      <c r="E630" s="28">
        <f t="shared" si="9"/>
        <v>4538</v>
      </c>
    </row>
    <row r="631" spans="1:5" x14ac:dyDescent="0.25">
      <c r="A631" s="29">
        <v>45971</v>
      </c>
      <c r="B631" s="27" t="s">
        <v>31</v>
      </c>
      <c r="C631" s="17">
        <f>150*2.5</f>
        <v>375</v>
      </c>
      <c r="D631" s="17"/>
      <c r="E631" s="28">
        <f t="shared" si="9"/>
        <v>4163</v>
      </c>
    </row>
    <row r="632" spans="1:5" x14ac:dyDescent="0.25">
      <c r="A632" s="29">
        <v>45973</v>
      </c>
      <c r="B632" s="27" t="s">
        <v>31</v>
      </c>
      <c r="C632" s="17">
        <f>125*2.5</f>
        <v>312.5</v>
      </c>
      <c r="D632" s="17"/>
      <c r="E632" s="28">
        <f t="shared" si="9"/>
        <v>3850.5</v>
      </c>
    </row>
    <row r="633" spans="1:5" x14ac:dyDescent="0.25">
      <c r="A633" s="29">
        <v>45975</v>
      </c>
      <c r="B633" s="27" t="s">
        <v>31</v>
      </c>
      <c r="C633" s="17">
        <f>750</f>
        <v>750</v>
      </c>
      <c r="D633" s="17"/>
      <c r="E633" s="28">
        <f t="shared" si="9"/>
        <v>3100.5</v>
      </c>
    </row>
    <row r="634" spans="1:5" x14ac:dyDescent="0.25">
      <c r="A634" s="29">
        <v>45976</v>
      </c>
      <c r="B634" s="27" t="s">
        <v>51</v>
      </c>
      <c r="C634" s="17">
        <f>740*2.5</f>
        <v>1850</v>
      </c>
      <c r="D634" s="17"/>
      <c r="E634" s="28">
        <f t="shared" si="9"/>
        <v>1250.5</v>
      </c>
    </row>
    <row r="635" spans="1:5" x14ac:dyDescent="0.25">
      <c r="A635" s="29">
        <v>45977</v>
      </c>
      <c r="B635" s="27" t="s">
        <v>51</v>
      </c>
      <c r="C635" s="17">
        <f>125</f>
        <v>125</v>
      </c>
      <c r="D635" s="17"/>
      <c r="E635" s="28">
        <f t="shared" si="9"/>
        <v>1125.5</v>
      </c>
    </row>
    <row r="636" spans="1:5" x14ac:dyDescent="0.25">
      <c r="A636" s="29">
        <v>45978</v>
      </c>
      <c r="B636" s="27" t="s">
        <v>31</v>
      </c>
      <c r="C636" s="17">
        <f>120*2.5</f>
        <v>300</v>
      </c>
      <c r="D636" s="17"/>
      <c r="E636" s="28">
        <f t="shared" si="9"/>
        <v>825.5</v>
      </c>
    </row>
    <row r="637" spans="1:5" x14ac:dyDescent="0.25">
      <c r="A637" s="29">
        <v>45978</v>
      </c>
      <c r="B637" s="27" t="s">
        <v>51</v>
      </c>
      <c r="C637" s="17">
        <f>840*2.5</f>
        <v>2100</v>
      </c>
      <c r="D637" s="17"/>
      <c r="E637" s="28">
        <f t="shared" si="9"/>
        <v>-1274.5</v>
      </c>
    </row>
    <row r="638" spans="1:5" x14ac:dyDescent="0.25">
      <c r="A638" s="29">
        <v>45978</v>
      </c>
      <c r="B638" s="27" t="s">
        <v>123</v>
      </c>
      <c r="C638" s="17"/>
      <c r="D638" s="17">
        <f>10000</f>
        <v>10000</v>
      </c>
      <c r="E638" s="28">
        <f t="shared" si="9"/>
        <v>8725.5</v>
      </c>
    </row>
    <row r="639" spans="1:5" x14ac:dyDescent="0.25">
      <c r="A639" s="29">
        <v>45979</v>
      </c>
      <c r="B639" s="27" t="s">
        <v>31</v>
      </c>
      <c r="C639" s="17">
        <f>150*2.5</f>
        <v>375</v>
      </c>
      <c r="D639" s="17"/>
      <c r="E639" s="28">
        <f t="shared" si="9"/>
        <v>8350.5</v>
      </c>
    </row>
    <row r="640" spans="1:5" x14ac:dyDescent="0.25">
      <c r="A640" s="29">
        <v>45982</v>
      </c>
      <c r="B640" s="27" t="s">
        <v>31</v>
      </c>
      <c r="C640" s="17">
        <f>1425</f>
        <v>1425</v>
      </c>
      <c r="D640" s="17"/>
      <c r="E640" s="28">
        <f t="shared" si="9"/>
        <v>6925.5</v>
      </c>
    </row>
    <row r="641" spans="1:5" x14ac:dyDescent="0.25">
      <c r="A641" s="29">
        <v>45983</v>
      </c>
      <c r="B641" s="27" t="s">
        <v>31</v>
      </c>
      <c r="C641" s="17">
        <f>250</f>
        <v>250</v>
      </c>
      <c r="D641" s="17"/>
      <c r="E641" s="28">
        <f t="shared" si="9"/>
        <v>6675.5</v>
      </c>
    </row>
    <row r="642" spans="1:5" x14ac:dyDescent="0.25">
      <c r="A642" s="29">
        <v>45984</v>
      </c>
      <c r="B642" s="27" t="s">
        <v>31</v>
      </c>
      <c r="C642" s="17">
        <f>550</f>
        <v>550</v>
      </c>
      <c r="D642" s="17"/>
      <c r="E642" s="28">
        <f t="shared" si="9"/>
        <v>6125.5</v>
      </c>
    </row>
    <row r="643" spans="1:5" x14ac:dyDescent="0.25">
      <c r="A643" s="29">
        <v>45985</v>
      </c>
      <c r="B643" s="27" t="s">
        <v>31</v>
      </c>
      <c r="C643" s="17">
        <f>200*2.5</f>
        <v>500</v>
      </c>
      <c r="D643" s="17"/>
      <c r="E643" s="28">
        <f t="shared" si="9"/>
        <v>5625.5</v>
      </c>
    </row>
    <row r="644" spans="1:5" x14ac:dyDescent="0.25">
      <c r="A644" s="29">
        <v>45986</v>
      </c>
      <c r="B644" s="27" t="s">
        <v>31</v>
      </c>
      <c r="C644" s="17">
        <v>412.5</v>
      </c>
      <c r="D644" s="17"/>
      <c r="E644" s="28">
        <f t="shared" si="9"/>
        <v>5213</v>
      </c>
    </row>
    <row r="645" spans="1:5" x14ac:dyDescent="0.25">
      <c r="A645" s="29">
        <v>45987</v>
      </c>
      <c r="B645" s="27" t="s">
        <v>51</v>
      </c>
      <c r="C645" s="17">
        <v>1950</v>
      </c>
      <c r="D645" s="17"/>
      <c r="E645" s="28">
        <f t="shared" si="9"/>
        <v>3263</v>
      </c>
    </row>
    <row r="646" spans="1:5" x14ac:dyDescent="0.25">
      <c r="A646" s="29">
        <v>45988</v>
      </c>
      <c r="B646" s="27" t="s">
        <v>51</v>
      </c>
      <c r="C646" s="17">
        <f>710*2.5</f>
        <v>1775</v>
      </c>
      <c r="D646" s="17"/>
      <c r="E646" s="28">
        <f t="shared" ref="E646:E709" si="10">E645+D646-C646</f>
        <v>1488</v>
      </c>
    </row>
    <row r="647" spans="1:5" x14ac:dyDescent="0.25">
      <c r="A647" s="29">
        <v>45988</v>
      </c>
      <c r="B647" s="27" t="s">
        <v>31</v>
      </c>
      <c r="C647" s="17">
        <f>120*2.5</f>
        <v>300</v>
      </c>
      <c r="D647" s="17"/>
      <c r="E647" s="28">
        <f t="shared" si="10"/>
        <v>1188</v>
      </c>
    </row>
    <row r="648" spans="1:5" x14ac:dyDescent="0.25">
      <c r="A648" s="29">
        <v>45989</v>
      </c>
      <c r="B648" s="27" t="s">
        <v>31</v>
      </c>
      <c r="C648" s="17">
        <f>265*2.5</f>
        <v>662.5</v>
      </c>
      <c r="D648" s="17"/>
      <c r="E648" s="28">
        <f t="shared" si="10"/>
        <v>525.5</v>
      </c>
    </row>
    <row r="649" spans="1:5" x14ac:dyDescent="0.25">
      <c r="A649" s="29">
        <v>45990</v>
      </c>
      <c r="B649" s="27" t="s">
        <v>31</v>
      </c>
      <c r="C649" s="17">
        <f>125</f>
        <v>125</v>
      </c>
      <c r="D649" s="17"/>
      <c r="E649" s="28">
        <f t="shared" si="10"/>
        <v>400.5</v>
      </c>
    </row>
    <row r="650" spans="1:5" x14ac:dyDescent="0.25">
      <c r="A650" s="29">
        <v>45991</v>
      </c>
      <c r="B650" s="27" t="s">
        <v>51</v>
      </c>
      <c r="C650" s="17">
        <f>700*2.5</f>
        <v>1750</v>
      </c>
      <c r="D650" s="17"/>
      <c r="E650" s="28">
        <f t="shared" si="10"/>
        <v>-1349.5</v>
      </c>
    </row>
    <row r="651" spans="1:5" x14ac:dyDescent="0.25">
      <c r="A651" s="29">
        <v>45991</v>
      </c>
      <c r="B651" s="27" t="s">
        <v>31</v>
      </c>
      <c r="C651" s="17">
        <f>120*2.5</f>
        <v>300</v>
      </c>
      <c r="D651" s="17"/>
      <c r="E651" s="28">
        <f t="shared" si="10"/>
        <v>-1649.5</v>
      </c>
    </row>
    <row r="652" spans="1:5" x14ac:dyDescent="0.25">
      <c r="A652" s="29"/>
      <c r="B652" s="27"/>
      <c r="C652" s="17"/>
      <c r="D652" s="17"/>
      <c r="E652" s="28">
        <f t="shared" si="10"/>
        <v>-1649.5</v>
      </c>
    </row>
    <row r="653" spans="1:5" x14ac:dyDescent="0.25">
      <c r="A653" s="29">
        <v>45992</v>
      </c>
      <c r="B653" s="27" t="s">
        <v>31</v>
      </c>
      <c r="C653" s="17">
        <f>250</f>
        <v>250</v>
      </c>
      <c r="D653" s="17"/>
      <c r="E653" s="28">
        <f t="shared" si="10"/>
        <v>-1899.5</v>
      </c>
    </row>
    <row r="654" spans="1:5" x14ac:dyDescent="0.25">
      <c r="A654" s="29">
        <v>45994</v>
      </c>
      <c r="B654" s="27" t="s">
        <v>123</v>
      </c>
      <c r="C654" s="17"/>
      <c r="D654" s="17">
        <f>15000</f>
        <v>15000</v>
      </c>
      <c r="E654" s="28">
        <f t="shared" si="10"/>
        <v>13100.5</v>
      </c>
    </row>
    <row r="655" spans="1:5" x14ac:dyDescent="0.25">
      <c r="A655" s="29">
        <v>45994</v>
      </c>
      <c r="B655" s="27" t="s">
        <v>31</v>
      </c>
      <c r="C655" s="17">
        <f>250*2.5</f>
        <v>625</v>
      </c>
      <c r="D655" s="17"/>
      <c r="E655" s="28">
        <f t="shared" si="10"/>
        <v>12475.5</v>
      </c>
    </row>
    <row r="656" spans="1:5" x14ac:dyDescent="0.25">
      <c r="A656" s="29">
        <v>45995</v>
      </c>
      <c r="B656" s="27" t="s">
        <v>31</v>
      </c>
      <c r="C656" s="17">
        <f>685*2.5</f>
        <v>1712.5</v>
      </c>
      <c r="D656" s="17"/>
      <c r="E656" s="28">
        <f t="shared" si="10"/>
        <v>10763</v>
      </c>
    </row>
    <row r="657" spans="1:5" x14ac:dyDescent="0.25">
      <c r="A657" s="29">
        <v>45996</v>
      </c>
      <c r="B657" s="27" t="s">
        <v>31</v>
      </c>
      <c r="C657" s="17">
        <v>400</v>
      </c>
      <c r="D657" s="17"/>
      <c r="E657" s="28">
        <f t="shared" si="10"/>
        <v>10363</v>
      </c>
    </row>
    <row r="658" spans="1:5" x14ac:dyDescent="0.25">
      <c r="A658" s="29">
        <v>45997</v>
      </c>
      <c r="B658" s="27" t="s">
        <v>31</v>
      </c>
      <c r="C658" s="17">
        <f>125</f>
        <v>125</v>
      </c>
      <c r="D658" s="17"/>
      <c r="E658" s="28">
        <f t="shared" si="10"/>
        <v>10238</v>
      </c>
    </row>
    <row r="659" spans="1:5" x14ac:dyDescent="0.25">
      <c r="A659" s="29">
        <v>45998</v>
      </c>
      <c r="B659" s="27" t="s">
        <v>51</v>
      </c>
      <c r="C659" s="17">
        <f>700*2.5</f>
        <v>1750</v>
      </c>
      <c r="D659" s="17"/>
      <c r="E659" s="28">
        <f t="shared" si="10"/>
        <v>8488</v>
      </c>
    </row>
    <row r="660" spans="1:5" x14ac:dyDescent="0.25">
      <c r="A660" s="29">
        <v>45999</v>
      </c>
      <c r="B660" s="27" t="s">
        <v>31</v>
      </c>
      <c r="C660" s="17">
        <f>225*2.5</f>
        <v>562.5</v>
      </c>
      <c r="D660" s="17"/>
      <c r="E660" s="28">
        <f t="shared" si="10"/>
        <v>7925.5</v>
      </c>
    </row>
    <row r="661" spans="1:5" x14ac:dyDescent="0.25">
      <c r="A661" s="29">
        <v>46000</v>
      </c>
      <c r="B661" s="27" t="s">
        <v>31</v>
      </c>
      <c r="C661" s="17">
        <f>550</f>
        <v>550</v>
      </c>
      <c r="D661" s="17"/>
      <c r="E661" s="28">
        <f t="shared" si="10"/>
        <v>7375.5</v>
      </c>
    </row>
    <row r="662" spans="1:5" x14ac:dyDescent="0.25">
      <c r="A662" s="29">
        <v>46001</v>
      </c>
      <c r="B662" s="27" t="s">
        <v>31</v>
      </c>
      <c r="C662" s="17">
        <f>225</f>
        <v>225</v>
      </c>
      <c r="D662" s="17"/>
      <c r="E662" s="28">
        <f t="shared" si="10"/>
        <v>7150.5</v>
      </c>
    </row>
    <row r="663" spans="1:5" x14ac:dyDescent="0.25">
      <c r="A663" s="29">
        <v>46002</v>
      </c>
      <c r="B663" s="27" t="s">
        <v>51</v>
      </c>
      <c r="C663" s="17">
        <f>840*2.5</f>
        <v>2100</v>
      </c>
      <c r="D663" s="17"/>
      <c r="E663" s="28">
        <f t="shared" si="10"/>
        <v>5050.5</v>
      </c>
    </row>
    <row r="664" spans="1:5" x14ac:dyDescent="0.25">
      <c r="A664" s="29">
        <v>46003</v>
      </c>
      <c r="B664" s="27" t="s">
        <v>31</v>
      </c>
      <c r="C664" s="17">
        <f>55*2.5</f>
        <v>137.5</v>
      </c>
      <c r="D664" s="17"/>
      <c r="E664" s="28">
        <f t="shared" si="10"/>
        <v>4913</v>
      </c>
    </row>
    <row r="665" spans="1:5" x14ac:dyDescent="0.25">
      <c r="A665" s="29">
        <v>46004</v>
      </c>
      <c r="B665" s="27" t="s">
        <v>31</v>
      </c>
      <c r="C665" s="17">
        <f>150*2.5</f>
        <v>375</v>
      </c>
      <c r="D665" s="17"/>
      <c r="E665" s="28">
        <f t="shared" si="10"/>
        <v>4538</v>
      </c>
    </row>
    <row r="666" spans="1:5" x14ac:dyDescent="0.25">
      <c r="A666" s="29">
        <v>46004</v>
      </c>
      <c r="B666" s="27" t="s">
        <v>51</v>
      </c>
      <c r="C666" s="17">
        <f>700*2.5</f>
        <v>1750</v>
      </c>
      <c r="D666" s="17"/>
      <c r="E666" s="28">
        <f t="shared" si="10"/>
        <v>2788</v>
      </c>
    </row>
    <row r="667" spans="1:5" x14ac:dyDescent="0.25">
      <c r="A667" s="29">
        <v>46005</v>
      </c>
      <c r="B667" s="27" t="s">
        <v>31</v>
      </c>
      <c r="C667" s="17">
        <f>850</f>
        <v>850</v>
      </c>
      <c r="D667" s="17"/>
      <c r="E667" s="28">
        <f t="shared" si="10"/>
        <v>1938</v>
      </c>
    </row>
    <row r="668" spans="1:5" x14ac:dyDescent="0.25">
      <c r="A668" s="29">
        <v>46006</v>
      </c>
      <c r="B668" s="27" t="s">
        <v>31</v>
      </c>
      <c r="C668" s="17">
        <f>300*2.5</f>
        <v>750</v>
      </c>
      <c r="D668" s="17"/>
      <c r="E668" s="28">
        <f t="shared" si="10"/>
        <v>1188</v>
      </c>
    </row>
    <row r="669" spans="1:5" x14ac:dyDescent="0.25">
      <c r="A669" s="29">
        <v>46007</v>
      </c>
      <c r="B669" s="27" t="s">
        <v>31</v>
      </c>
      <c r="C669" s="17">
        <v>250</v>
      </c>
      <c r="D669" s="17"/>
      <c r="E669" s="28">
        <f t="shared" si="10"/>
        <v>938</v>
      </c>
    </row>
    <row r="670" spans="1:5" x14ac:dyDescent="0.25">
      <c r="A670" s="29">
        <v>46008</v>
      </c>
      <c r="B670" s="27" t="s">
        <v>31</v>
      </c>
      <c r="C670" s="17">
        <f>70*2.5</f>
        <v>175</v>
      </c>
      <c r="D670" s="17"/>
      <c r="E670" s="28">
        <f t="shared" si="10"/>
        <v>763</v>
      </c>
    </row>
    <row r="671" spans="1:5" x14ac:dyDescent="0.25">
      <c r="A671" s="29">
        <v>46010</v>
      </c>
      <c r="B671" s="27" t="s">
        <v>31</v>
      </c>
      <c r="C671" s="17">
        <f>310*2.5</f>
        <v>775</v>
      </c>
      <c r="D671" s="17"/>
      <c r="E671" s="28">
        <f t="shared" si="10"/>
        <v>-12</v>
      </c>
    </row>
    <row r="672" spans="1:5" x14ac:dyDescent="0.25">
      <c r="A672" s="29">
        <v>46011</v>
      </c>
      <c r="B672" s="27" t="s">
        <v>31</v>
      </c>
      <c r="C672" s="17">
        <f>375</f>
        <v>375</v>
      </c>
      <c r="D672" s="17"/>
      <c r="E672" s="28">
        <f t="shared" si="10"/>
        <v>-387</v>
      </c>
    </row>
    <row r="673" spans="1:5" x14ac:dyDescent="0.25">
      <c r="A673" s="29">
        <v>46012</v>
      </c>
      <c r="B673" s="87" t="s">
        <v>51</v>
      </c>
      <c r="C673" s="17">
        <f>1140*2.5</f>
        <v>2850</v>
      </c>
      <c r="D673" s="17"/>
      <c r="E673" s="28">
        <f t="shared" si="10"/>
        <v>-3237</v>
      </c>
    </row>
    <row r="674" spans="1:5" x14ac:dyDescent="0.25">
      <c r="A674" s="29">
        <v>46013</v>
      </c>
      <c r="B674" s="87" t="s">
        <v>51</v>
      </c>
      <c r="C674" s="17">
        <f>1020*2.5</f>
        <v>2550</v>
      </c>
      <c r="D674" s="17"/>
      <c r="E674" s="28">
        <f t="shared" si="10"/>
        <v>-5787</v>
      </c>
    </row>
    <row r="675" spans="1:5" x14ac:dyDescent="0.25">
      <c r="A675" s="29">
        <v>46014</v>
      </c>
      <c r="B675" s="27" t="s">
        <v>31</v>
      </c>
      <c r="C675" s="17">
        <f>1450</f>
        <v>1450</v>
      </c>
      <c r="D675" s="17"/>
      <c r="E675" s="28">
        <f t="shared" si="10"/>
        <v>-7237</v>
      </c>
    </row>
    <row r="676" spans="1:5" x14ac:dyDescent="0.25">
      <c r="A676" s="29">
        <v>46015</v>
      </c>
      <c r="B676" s="27" t="s">
        <v>31</v>
      </c>
      <c r="C676" s="17">
        <f>250</f>
        <v>250</v>
      </c>
      <c r="D676" s="17"/>
      <c r="E676" s="28">
        <f t="shared" si="10"/>
        <v>-7487</v>
      </c>
    </row>
    <row r="677" spans="1:5" x14ac:dyDescent="0.25">
      <c r="A677" s="29">
        <v>46016</v>
      </c>
      <c r="B677" s="27" t="s">
        <v>31</v>
      </c>
      <c r="C677" s="17">
        <f>249*2.5</f>
        <v>622.5</v>
      </c>
      <c r="D677" s="17"/>
      <c r="E677" s="28">
        <f t="shared" si="10"/>
        <v>-8109.5</v>
      </c>
    </row>
    <row r="678" spans="1:5" x14ac:dyDescent="0.25">
      <c r="A678" s="29">
        <v>46017</v>
      </c>
      <c r="B678" s="27" t="s">
        <v>31</v>
      </c>
      <c r="C678" s="17">
        <f>351*2.5</f>
        <v>877.5</v>
      </c>
      <c r="D678" s="17"/>
      <c r="E678" s="28">
        <f t="shared" si="10"/>
        <v>-8987</v>
      </c>
    </row>
    <row r="679" spans="1:5" x14ac:dyDescent="0.25">
      <c r="A679" s="29">
        <v>46020</v>
      </c>
      <c r="B679" s="27" t="s">
        <v>51</v>
      </c>
      <c r="C679" s="17">
        <f>840*2.5</f>
        <v>2100</v>
      </c>
      <c r="D679" s="17"/>
      <c r="E679" s="28">
        <f t="shared" si="10"/>
        <v>-11087</v>
      </c>
    </row>
    <row r="680" spans="1:5" x14ac:dyDescent="0.25">
      <c r="A680" s="29">
        <v>46020</v>
      </c>
      <c r="B680" s="27" t="s">
        <v>31</v>
      </c>
      <c r="C680" s="17">
        <f>250*2.5</f>
        <v>625</v>
      </c>
      <c r="D680" s="17"/>
      <c r="E680" s="28">
        <f t="shared" si="10"/>
        <v>-11712</v>
      </c>
    </row>
    <row r="681" spans="1:5" x14ac:dyDescent="0.25">
      <c r="A681" s="29">
        <v>46021</v>
      </c>
      <c r="B681" s="27" t="s">
        <v>31</v>
      </c>
      <c r="C681" s="17">
        <f>80*2.5</f>
        <v>200</v>
      </c>
      <c r="D681" s="17"/>
      <c r="E681" s="28">
        <f t="shared" si="10"/>
        <v>-11912</v>
      </c>
    </row>
    <row r="682" spans="1:5" x14ac:dyDescent="0.25">
      <c r="A682" s="29">
        <v>46021</v>
      </c>
      <c r="B682" s="27" t="s">
        <v>123</v>
      </c>
      <c r="C682" s="17"/>
      <c r="D682" s="17">
        <f>22000</f>
        <v>22000</v>
      </c>
      <c r="E682" s="28">
        <f t="shared" si="10"/>
        <v>10088</v>
      </c>
    </row>
    <row r="683" spans="1:5" x14ac:dyDescent="0.25">
      <c r="A683" s="29">
        <v>46022</v>
      </c>
      <c r="B683" s="27" t="s">
        <v>31</v>
      </c>
      <c r="C683" s="17">
        <f>150*2.5</f>
        <v>375</v>
      </c>
      <c r="D683" s="17"/>
      <c r="E683" s="28">
        <f t="shared" si="10"/>
        <v>9713</v>
      </c>
    </row>
    <row r="684" spans="1:5" x14ac:dyDescent="0.25">
      <c r="A684" s="29"/>
      <c r="B684" s="27"/>
      <c r="C684" s="17"/>
      <c r="D684" s="17"/>
      <c r="E684" s="28">
        <f t="shared" si="10"/>
        <v>9713</v>
      </c>
    </row>
    <row r="685" spans="1:5" x14ac:dyDescent="0.25">
      <c r="A685" s="29">
        <v>46024</v>
      </c>
      <c r="B685" s="27" t="s">
        <v>31</v>
      </c>
      <c r="C685" s="17">
        <f>190*2.5</f>
        <v>475</v>
      </c>
      <c r="D685" s="17"/>
      <c r="E685" s="28">
        <f t="shared" si="10"/>
        <v>9238</v>
      </c>
    </row>
    <row r="686" spans="1:5" x14ac:dyDescent="0.25">
      <c r="A686" s="29">
        <v>46025</v>
      </c>
      <c r="B686" s="27" t="s">
        <v>31</v>
      </c>
      <c r="C686" s="17">
        <f>150*2.5</f>
        <v>375</v>
      </c>
      <c r="D686" s="17"/>
      <c r="E686" s="28">
        <f t="shared" si="10"/>
        <v>8863</v>
      </c>
    </row>
    <row r="687" spans="1:5" x14ac:dyDescent="0.25">
      <c r="A687" s="29">
        <v>46026</v>
      </c>
      <c r="B687" s="27" t="s">
        <v>31</v>
      </c>
      <c r="C687" s="17">
        <f>200*2.5</f>
        <v>500</v>
      </c>
      <c r="D687" s="17"/>
      <c r="E687" s="28">
        <f t="shared" si="10"/>
        <v>8363</v>
      </c>
    </row>
    <row r="688" spans="1:5" x14ac:dyDescent="0.25">
      <c r="A688" s="29">
        <v>46027</v>
      </c>
      <c r="B688" s="27" t="s">
        <v>31</v>
      </c>
      <c r="C688" s="17">
        <f>200*2.5</f>
        <v>500</v>
      </c>
      <c r="D688" s="17"/>
      <c r="E688" s="28">
        <f t="shared" si="10"/>
        <v>7863</v>
      </c>
    </row>
    <row r="689" spans="1:5" x14ac:dyDescent="0.25">
      <c r="A689" s="29">
        <v>46029</v>
      </c>
      <c r="B689" s="27" t="s">
        <v>31</v>
      </c>
      <c r="C689" s="17">
        <f>130*2.5</f>
        <v>325</v>
      </c>
      <c r="D689" s="17"/>
      <c r="E689" s="28">
        <f t="shared" si="10"/>
        <v>7538</v>
      </c>
    </row>
    <row r="690" spans="1:5" x14ac:dyDescent="0.25">
      <c r="A690" s="29">
        <v>46030</v>
      </c>
      <c r="B690" s="27" t="s">
        <v>31</v>
      </c>
      <c r="C690" s="17">
        <f>250*2.5</f>
        <v>625</v>
      </c>
      <c r="D690" s="17"/>
      <c r="E690" s="28">
        <f t="shared" si="10"/>
        <v>6913</v>
      </c>
    </row>
    <row r="691" spans="1:5" x14ac:dyDescent="0.25">
      <c r="A691" s="29">
        <v>46033</v>
      </c>
      <c r="B691" s="27" t="s">
        <v>31</v>
      </c>
      <c r="C691" s="17">
        <f>230*2.5</f>
        <v>575</v>
      </c>
      <c r="D691" s="17"/>
      <c r="E691" s="28">
        <f t="shared" si="10"/>
        <v>6338</v>
      </c>
    </row>
    <row r="692" spans="1:5" x14ac:dyDescent="0.25">
      <c r="A692" s="29">
        <v>46034</v>
      </c>
      <c r="B692" s="27" t="s">
        <v>51</v>
      </c>
      <c r="C692" s="17">
        <f>640*2.5</f>
        <v>1600</v>
      </c>
      <c r="D692" s="17"/>
      <c r="E692" s="28">
        <f t="shared" si="10"/>
        <v>4738</v>
      </c>
    </row>
    <row r="693" spans="1:5" x14ac:dyDescent="0.25">
      <c r="A693" s="29">
        <v>46037</v>
      </c>
      <c r="B693" s="27" t="s">
        <v>31</v>
      </c>
      <c r="C693" s="17">
        <f>175*2.5</f>
        <v>437.5</v>
      </c>
      <c r="D693" s="17"/>
      <c r="E693" s="28">
        <f t="shared" si="10"/>
        <v>4300.5</v>
      </c>
    </row>
    <row r="694" spans="1:5" x14ac:dyDescent="0.25">
      <c r="A694" s="29">
        <v>46039</v>
      </c>
      <c r="B694" s="27" t="s">
        <v>31</v>
      </c>
      <c r="C694" s="17">
        <f>250</f>
        <v>250</v>
      </c>
      <c r="D694" s="17"/>
      <c r="E694" s="28">
        <f t="shared" si="10"/>
        <v>4050.5</v>
      </c>
    </row>
    <row r="695" spans="1:5" x14ac:dyDescent="0.25">
      <c r="A695" s="29">
        <v>46043</v>
      </c>
      <c r="B695" s="27" t="s">
        <v>31</v>
      </c>
      <c r="C695" s="17">
        <f>912.5</f>
        <v>912.5</v>
      </c>
      <c r="D695" s="17"/>
      <c r="E695" s="28">
        <f t="shared" si="10"/>
        <v>3138</v>
      </c>
    </row>
    <row r="696" spans="1:5" x14ac:dyDescent="0.25">
      <c r="A696" s="29">
        <v>46045</v>
      </c>
      <c r="B696" s="27" t="s">
        <v>31</v>
      </c>
      <c r="C696" s="17">
        <f>80*2.5</f>
        <v>200</v>
      </c>
      <c r="D696" s="17"/>
      <c r="E696" s="28">
        <f t="shared" si="10"/>
        <v>2938</v>
      </c>
    </row>
    <row r="697" spans="1:5" x14ac:dyDescent="0.25">
      <c r="A697" s="29">
        <v>46045</v>
      </c>
      <c r="B697" s="27" t="s">
        <v>51</v>
      </c>
      <c r="C697" s="17">
        <f>540*2.5</f>
        <v>1350</v>
      </c>
      <c r="D697" s="17"/>
      <c r="E697" s="28">
        <f t="shared" si="10"/>
        <v>1588</v>
      </c>
    </row>
    <row r="698" spans="1:5" x14ac:dyDescent="0.25">
      <c r="A698" s="29">
        <v>46047</v>
      </c>
      <c r="B698" s="27" t="s">
        <v>51</v>
      </c>
      <c r="C698" s="17">
        <f>740*2.5</f>
        <v>1850</v>
      </c>
      <c r="D698" s="17"/>
      <c r="E698" s="28">
        <f t="shared" si="10"/>
        <v>-262</v>
      </c>
    </row>
    <row r="699" spans="1:5" x14ac:dyDescent="0.25">
      <c r="A699" s="29">
        <v>46048</v>
      </c>
      <c r="B699" s="27" t="s">
        <v>31</v>
      </c>
      <c r="C699" s="17">
        <f>250</f>
        <v>250</v>
      </c>
      <c r="D699" s="17"/>
      <c r="E699" s="28">
        <f t="shared" si="10"/>
        <v>-512</v>
      </c>
    </row>
    <row r="700" spans="1:5" x14ac:dyDescent="0.25">
      <c r="A700" s="29">
        <v>46049</v>
      </c>
      <c r="B700" s="27" t="s">
        <v>124</v>
      </c>
      <c r="C700" s="17"/>
      <c r="D700" s="17">
        <f>12500</f>
        <v>12500</v>
      </c>
      <c r="E700" s="28">
        <f t="shared" si="10"/>
        <v>11988</v>
      </c>
    </row>
    <row r="701" spans="1:5" x14ac:dyDescent="0.25">
      <c r="A701" s="29">
        <v>46050</v>
      </c>
      <c r="B701" s="27" t="s">
        <v>31</v>
      </c>
      <c r="C701" s="17">
        <f>150*2.5</f>
        <v>375</v>
      </c>
      <c r="D701" s="17"/>
      <c r="E701" s="28">
        <f t="shared" si="10"/>
        <v>11613</v>
      </c>
    </row>
    <row r="702" spans="1:5" x14ac:dyDescent="0.25">
      <c r="A702" s="29">
        <v>46051</v>
      </c>
      <c r="B702" s="27" t="s">
        <v>31</v>
      </c>
      <c r="C702" s="17">
        <f>250</f>
        <v>250</v>
      </c>
      <c r="D702" s="17"/>
      <c r="E702" s="28">
        <f t="shared" si="10"/>
        <v>11363</v>
      </c>
    </row>
    <row r="703" spans="1:5" x14ac:dyDescent="0.25">
      <c r="A703" s="29">
        <v>46052</v>
      </c>
      <c r="B703" s="27" t="s">
        <v>31</v>
      </c>
      <c r="C703" s="17">
        <f>165*2.5</f>
        <v>412.5</v>
      </c>
      <c r="D703" s="17"/>
      <c r="E703" s="28">
        <f t="shared" si="10"/>
        <v>10950.5</v>
      </c>
    </row>
    <row r="704" spans="1:5" x14ac:dyDescent="0.25">
      <c r="A704" s="29">
        <v>46053</v>
      </c>
      <c r="B704" s="27" t="s">
        <v>31</v>
      </c>
      <c r="C704" s="17">
        <f>937.5</f>
        <v>937.5</v>
      </c>
      <c r="D704" s="17"/>
      <c r="E704" s="28">
        <f t="shared" si="10"/>
        <v>10013</v>
      </c>
    </row>
    <row r="705" spans="1:5" x14ac:dyDescent="0.25">
      <c r="A705" s="29"/>
      <c r="B705" s="27"/>
      <c r="C705" s="17"/>
      <c r="D705" s="17"/>
      <c r="E705" s="28">
        <f t="shared" si="10"/>
        <v>10013</v>
      </c>
    </row>
    <row r="706" spans="1:5" x14ac:dyDescent="0.25">
      <c r="A706" s="29">
        <v>46026</v>
      </c>
      <c r="B706" s="27" t="s">
        <v>31</v>
      </c>
      <c r="C706" s="17">
        <f>125*2.5</f>
        <v>312.5</v>
      </c>
      <c r="D706" s="17"/>
      <c r="E706" s="28">
        <f t="shared" si="10"/>
        <v>9700.5</v>
      </c>
    </row>
    <row r="707" spans="1:5" x14ac:dyDescent="0.25">
      <c r="A707" s="29">
        <v>46058</v>
      </c>
      <c r="B707" s="27" t="s">
        <v>31</v>
      </c>
      <c r="C707" s="17">
        <f>250</f>
        <v>250</v>
      </c>
      <c r="D707" s="17"/>
      <c r="E707" s="28">
        <f t="shared" si="10"/>
        <v>9450.5</v>
      </c>
    </row>
    <row r="708" spans="1:5" x14ac:dyDescent="0.25">
      <c r="A708" s="29">
        <v>46060</v>
      </c>
      <c r="B708" s="27" t="s">
        <v>51</v>
      </c>
      <c r="C708" s="17">
        <f>840*2.5</f>
        <v>2100</v>
      </c>
      <c r="D708" s="17"/>
      <c r="E708" s="28">
        <f t="shared" si="10"/>
        <v>7350.5</v>
      </c>
    </row>
    <row r="709" spans="1:5" x14ac:dyDescent="0.25">
      <c r="A709" s="29">
        <v>46062</v>
      </c>
      <c r="B709" s="27" t="s">
        <v>51</v>
      </c>
      <c r="C709" s="17">
        <f>720*2.5</f>
        <v>1800</v>
      </c>
      <c r="D709" s="17"/>
      <c r="E709" s="28">
        <f t="shared" si="10"/>
        <v>5550.5</v>
      </c>
    </row>
    <row r="710" spans="1:5" x14ac:dyDescent="0.25">
      <c r="A710" s="29">
        <v>46063</v>
      </c>
      <c r="B710" s="27" t="s">
        <v>31</v>
      </c>
      <c r="C710" s="17">
        <f>1125</f>
        <v>1125</v>
      </c>
      <c r="D710" s="17"/>
      <c r="E710" s="28">
        <f t="shared" ref="E710:E720" si="11">E709+D710-C710</f>
        <v>4425.5</v>
      </c>
    </row>
    <row r="711" spans="1:5" x14ac:dyDescent="0.25">
      <c r="A711" s="29">
        <v>46064</v>
      </c>
      <c r="B711" s="27" t="s">
        <v>31</v>
      </c>
      <c r="C711" s="17">
        <f>250</f>
        <v>250</v>
      </c>
      <c r="D711" s="17"/>
      <c r="E711" s="28">
        <f t="shared" si="11"/>
        <v>4175.5</v>
      </c>
    </row>
    <row r="712" spans="1:5" x14ac:dyDescent="0.25">
      <c r="A712" s="29">
        <v>46066</v>
      </c>
      <c r="B712" s="27" t="s">
        <v>31</v>
      </c>
      <c r="C712" s="17">
        <f>35*2.5</f>
        <v>87.5</v>
      </c>
      <c r="D712" s="17"/>
      <c r="E712" s="28">
        <f t="shared" si="11"/>
        <v>4088</v>
      </c>
    </row>
    <row r="713" spans="1:5" x14ac:dyDescent="0.25">
      <c r="A713" s="29">
        <v>46066</v>
      </c>
      <c r="B713" s="27" t="s">
        <v>51</v>
      </c>
      <c r="C713" s="17">
        <f>840*2.5</f>
        <v>2100</v>
      </c>
      <c r="D713" s="17"/>
      <c r="E713" s="28">
        <f t="shared" si="11"/>
        <v>1988</v>
      </c>
    </row>
    <row r="714" spans="1:5" x14ac:dyDescent="0.25">
      <c r="A714" s="29">
        <v>46067</v>
      </c>
      <c r="B714" s="27" t="s">
        <v>31</v>
      </c>
      <c r="C714" s="17">
        <f>400</f>
        <v>400</v>
      </c>
      <c r="D714" s="17"/>
      <c r="E714" s="28">
        <f t="shared" si="11"/>
        <v>1588</v>
      </c>
    </row>
    <row r="715" spans="1:5" x14ac:dyDescent="0.25">
      <c r="A715" s="29">
        <v>46072</v>
      </c>
      <c r="B715" s="27" t="s">
        <v>31</v>
      </c>
      <c r="C715" s="17">
        <f>80*2.5</f>
        <v>200</v>
      </c>
      <c r="D715" s="17"/>
      <c r="E715" s="28">
        <f t="shared" si="11"/>
        <v>1388</v>
      </c>
    </row>
    <row r="716" spans="1:5" x14ac:dyDescent="0.25">
      <c r="A716" s="29">
        <v>46073</v>
      </c>
      <c r="B716" s="27" t="s">
        <v>51</v>
      </c>
      <c r="C716" s="17">
        <f>830*2.5</f>
        <v>2075</v>
      </c>
      <c r="D716" s="17"/>
      <c r="E716" s="28">
        <f t="shared" si="11"/>
        <v>-687</v>
      </c>
    </row>
    <row r="717" spans="1:5" x14ac:dyDescent="0.25">
      <c r="A717" s="29">
        <v>46074</v>
      </c>
      <c r="B717" s="27" t="s">
        <v>31</v>
      </c>
      <c r="C717" s="17">
        <f>830*2.5</f>
        <v>2075</v>
      </c>
      <c r="D717" s="17"/>
      <c r="E717" s="28">
        <f t="shared" si="11"/>
        <v>-2762</v>
      </c>
    </row>
    <row r="718" spans="1:5" x14ac:dyDescent="0.25">
      <c r="A718" s="29">
        <v>46076</v>
      </c>
      <c r="B718" s="27" t="s">
        <v>49</v>
      </c>
      <c r="C718" s="17"/>
      <c r="D718" s="17">
        <f>10000</f>
        <v>10000</v>
      </c>
      <c r="E718" s="28">
        <f t="shared" si="11"/>
        <v>7238</v>
      </c>
    </row>
    <row r="719" spans="1:5" x14ac:dyDescent="0.25">
      <c r="A719" s="29">
        <v>46077</v>
      </c>
      <c r="B719" s="27" t="s">
        <v>31</v>
      </c>
      <c r="C719" s="17">
        <f>305*2.5</f>
        <v>762.5</v>
      </c>
      <c r="D719" s="17"/>
      <c r="E719" s="28">
        <f t="shared" si="11"/>
        <v>6475.5</v>
      </c>
    </row>
    <row r="720" spans="1:5" x14ac:dyDescent="0.25">
      <c r="A720" s="29">
        <v>46078</v>
      </c>
      <c r="B720" s="27" t="s">
        <v>31</v>
      </c>
      <c r="C720" s="17">
        <f>15*2.5</f>
        <v>37.5</v>
      </c>
      <c r="D720" s="17"/>
      <c r="E720" s="28">
        <f t="shared" si="11"/>
        <v>6438</v>
      </c>
    </row>
    <row r="721" spans="1:5" x14ac:dyDescent="0.25">
      <c r="A721" s="29"/>
      <c r="B721" s="27"/>
      <c r="C721" s="17"/>
      <c r="D721" s="17"/>
      <c r="E721" s="28">
        <f t="shared" ref="E721:E784" si="12">E720+D721-C721</f>
        <v>6438</v>
      </c>
    </row>
    <row r="722" spans="1:5" x14ac:dyDescent="0.25">
      <c r="A722" s="29">
        <v>46082</v>
      </c>
      <c r="B722" s="27" t="s">
        <v>31</v>
      </c>
      <c r="C722" s="17">
        <f>300*2.5</f>
        <v>750</v>
      </c>
      <c r="D722" s="17"/>
      <c r="E722" s="28">
        <f t="shared" si="12"/>
        <v>5688</v>
      </c>
    </row>
    <row r="723" spans="1:5" x14ac:dyDescent="0.25">
      <c r="A723" s="29">
        <v>46082</v>
      </c>
      <c r="B723" s="27" t="s">
        <v>51</v>
      </c>
      <c r="C723" s="17">
        <f>840*2.5</f>
        <v>2100</v>
      </c>
      <c r="D723" s="17"/>
      <c r="E723" s="28">
        <f t="shared" si="12"/>
        <v>3588</v>
      </c>
    </row>
    <row r="724" spans="1:5" x14ac:dyDescent="0.25">
      <c r="A724" s="29">
        <v>46083</v>
      </c>
      <c r="B724" s="27" t="s">
        <v>31</v>
      </c>
      <c r="C724" s="17">
        <f>635*2.5</f>
        <v>1587.5</v>
      </c>
      <c r="D724" s="17"/>
      <c r="E724" s="28">
        <f t="shared" si="12"/>
        <v>2000.5</v>
      </c>
    </row>
    <row r="725" spans="1:5" x14ac:dyDescent="0.25">
      <c r="A725" s="29">
        <v>46084</v>
      </c>
      <c r="B725" s="27" t="s">
        <v>31</v>
      </c>
      <c r="C725" s="17">
        <f>80*2.5</f>
        <v>200</v>
      </c>
      <c r="D725" s="17"/>
      <c r="E725" s="28">
        <f t="shared" si="12"/>
        <v>1800.5</v>
      </c>
    </row>
    <row r="726" spans="1:5" x14ac:dyDescent="0.25">
      <c r="A726" s="29">
        <v>46086</v>
      </c>
      <c r="B726" s="27" t="s">
        <v>51</v>
      </c>
      <c r="C726" s="17">
        <f>740*2.5</f>
        <v>1850</v>
      </c>
      <c r="D726" s="17"/>
      <c r="E726" s="28">
        <f t="shared" si="12"/>
        <v>-49.5</v>
      </c>
    </row>
    <row r="727" spans="1:5" x14ac:dyDescent="0.25">
      <c r="A727" s="29">
        <v>46087</v>
      </c>
      <c r="B727" s="27" t="s">
        <v>31</v>
      </c>
      <c r="C727" s="17">
        <f>80*2.5</f>
        <v>200</v>
      </c>
      <c r="D727" s="17"/>
      <c r="E727" s="28">
        <f t="shared" si="12"/>
        <v>-249.5</v>
      </c>
    </row>
    <row r="728" spans="1:5" x14ac:dyDescent="0.25">
      <c r="A728" s="29">
        <v>46088</v>
      </c>
      <c r="B728" s="27" t="s">
        <v>51</v>
      </c>
      <c r="C728" s="17">
        <f>840*2.5</f>
        <v>2100</v>
      </c>
      <c r="D728" s="17"/>
      <c r="E728" s="28">
        <f t="shared" si="12"/>
        <v>-2349.5</v>
      </c>
    </row>
    <row r="729" spans="1:5" x14ac:dyDescent="0.25">
      <c r="A729" s="29">
        <v>46088</v>
      </c>
      <c r="B729" s="27" t="s">
        <v>31</v>
      </c>
      <c r="C729" s="17">
        <f>150*2.5</f>
        <v>375</v>
      </c>
      <c r="D729" s="17"/>
      <c r="E729" s="28">
        <f t="shared" si="12"/>
        <v>-2724.5</v>
      </c>
    </row>
    <row r="730" spans="1:5" x14ac:dyDescent="0.25">
      <c r="A730" s="29">
        <v>46089</v>
      </c>
      <c r="B730" s="27" t="s">
        <v>31</v>
      </c>
      <c r="C730" s="17">
        <f>140*2.5</f>
        <v>350</v>
      </c>
      <c r="D730" s="17"/>
      <c r="E730" s="28">
        <f t="shared" si="12"/>
        <v>-3074.5</v>
      </c>
    </row>
    <row r="731" spans="1:5" x14ac:dyDescent="0.25">
      <c r="A731" s="29">
        <v>46090</v>
      </c>
      <c r="B731" s="27" t="s">
        <v>31</v>
      </c>
      <c r="C731" s="17">
        <f>250</f>
        <v>250</v>
      </c>
      <c r="D731" s="17"/>
      <c r="E731" s="28">
        <f t="shared" si="12"/>
        <v>-3324.5</v>
      </c>
    </row>
    <row r="732" spans="1:5" x14ac:dyDescent="0.25">
      <c r="A732" s="29">
        <v>46091</v>
      </c>
      <c r="B732" s="27" t="s">
        <v>31</v>
      </c>
      <c r="C732" s="17">
        <f>450*2.5</f>
        <v>1125</v>
      </c>
      <c r="D732" s="17"/>
      <c r="E732" s="28">
        <f t="shared" si="12"/>
        <v>-4449.5</v>
      </c>
    </row>
    <row r="733" spans="1:5" x14ac:dyDescent="0.25">
      <c r="A733" s="29">
        <v>46091</v>
      </c>
      <c r="B733" s="27" t="s">
        <v>49</v>
      </c>
      <c r="C733" s="17"/>
      <c r="D733" s="17">
        <f>10000</f>
        <v>10000</v>
      </c>
      <c r="E733" s="28">
        <f t="shared" si="12"/>
        <v>5550.5</v>
      </c>
    </row>
    <row r="734" spans="1:5" x14ac:dyDescent="0.25">
      <c r="A734" s="29">
        <v>46093</v>
      </c>
      <c r="B734" s="27" t="s">
        <v>31</v>
      </c>
      <c r="C734" s="17">
        <f>750</f>
        <v>750</v>
      </c>
      <c r="D734" s="17"/>
      <c r="E734" s="28">
        <f t="shared" si="12"/>
        <v>4800.5</v>
      </c>
    </row>
    <row r="735" spans="1:5" x14ac:dyDescent="0.25">
      <c r="A735" s="29">
        <v>46094</v>
      </c>
      <c r="B735" s="27" t="s">
        <v>51</v>
      </c>
      <c r="C735" s="17">
        <f>740*2.5</f>
        <v>1850</v>
      </c>
      <c r="D735" s="17"/>
      <c r="E735" s="28">
        <f t="shared" si="12"/>
        <v>2950.5</v>
      </c>
    </row>
    <row r="736" spans="1:5" x14ac:dyDescent="0.25">
      <c r="A736" s="29">
        <v>46095</v>
      </c>
      <c r="B736" s="27" t="s">
        <v>31</v>
      </c>
      <c r="C736" s="17">
        <f>750</f>
        <v>750</v>
      </c>
      <c r="D736" s="17"/>
      <c r="E736" s="28">
        <f t="shared" si="12"/>
        <v>2200.5</v>
      </c>
    </row>
    <row r="737" spans="1:5" x14ac:dyDescent="0.25">
      <c r="A737" s="29">
        <v>46096</v>
      </c>
      <c r="B737" s="27" t="s">
        <v>31</v>
      </c>
      <c r="C737" s="17">
        <f>150*2.5</f>
        <v>375</v>
      </c>
      <c r="D737" s="17"/>
      <c r="E737" s="28">
        <f t="shared" si="12"/>
        <v>1825.5</v>
      </c>
    </row>
    <row r="738" spans="1:5" x14ac:dyDescent="0.25">
      <c r="A738" s="29">
        <v>46097</v>
      </c>
      <c r="B738" s="27" t="s">
        <v>31</v>
      </c>
      <c r="C738" s="17">
        <f>840*2.5</f>
        <v>2100</v>
      </c>
      <c r="D738" s="17"/>
      <c r="E738" s="28">
        <f t="shared" si="12"/>
        <v>-274.5</v>
      </c>
    </row>
    <row r="739" spans="1:5" x14ac:dyDescent="0.25">
      <c r="A739" s="29">
        <v>46098</v>
      </c>
      <c r="B739" s="27" t="s">
        <v>31</v>
      </c>
      <c r="C739" s="17">
        <f>250</f>
        <v>250</v>
      </c>
      <c r="D739" s="17"/>
      <c r="E739" s="28">
        <f t="shared" si="12"/>
        <v>-524.5</v>
      </c>
    </row>
    <row r="740" spans="1:5" x14ac:dyDescent="0.25">
      <c r="A740" s="29">
        <v>46099</v>
      </c>
      <c r="B740" s="27" t="s">
        <v>31</v>
      </c>
      <c r="C740" s="17">
        <f>210*2.5</f>
        <v>525</v>
      </c>
      <c r="D740" s="17"/>
      <c r="E740" s="28">
        <f t="shared" si="12"/>
        <v>-1049.5</v>
      </c>
    </row>
    <row r="741" spans="1:5" x14ac:dyDescent="0.25">
      <c r="A741" s="29">
        <v>46103</v>
      </c>
      <c r="B741" s="27" t="s">
        <v>31</v>
      </c>
      <c r="C741" s="17">
        <f>225*2.5</f>
        <v>562.5</v>
      </c>
      <c r="D741" s="17"/>
      <c r="E741" s="28">
        <f t="shared" si="12"/>
        <v>-1612</v>
      </c>
    </row>
    <row r="742" spans="1:5" x14ac:dyDescent="0.25">
      <c r="A742" s="29">
        <v>46105</v>
      </c>
      <c r="B742" s="27" t="s">
        <v>31</v>
      </c>
      <c r="C742" s="17">
        <f>55*2.5</f>
        <v>137.5</v>
      </c>
      <c r="D742" s="17"/>
      <c r="E742" s="28">
        <f t="shared" si="12"/>
        <v>-1749.5</v>
      </c>
    </row>
    <row r="743" spans="1:5" x14ac:dyDescent="0.25">
      <c r="A743" s="29">
        <v>46109</v>
      </c>
      <c r="B743" s="27" t="s">
        <v>51</v>
      </c>
      <c r="C743" s="17">
        <f>830*2.5</f>
        <v>2075</v>
      </c>
      <c r="D743" s="17"/>
      <c r="E743" s="28">
        <f t="shared" si="12"/>
        <v>-3824.5</v>
      </c>
    </row>
    <row r="744" spans="1:5" x14ac:dyDescent="0.25">
      <c r="A744" s="29">
        <v>46111</v>
      </c>
      <c r="B744" s="27" t="s">
        <v>49</v>
      </c>
      <c r="C744" s="17"/>
      <c r="D744" s="17">
        <v>10000</v>
      </c>
      <c r="E744" s="28">
        <f t="shared" si="12"/>
        <v>6175.5</v>
      </c>
    </row>
    <row r="745" spans="1:5" x14ac:dyDescent="0.25">
      <c r="A745" s="29"/>
      <c r="B745" s="27"/>
      <c r="C745" s="17"/>
      <c r="D745" s="17"/>
      <c r="E745" s="28">
        <f t="shared" si="12"/>
        <v>6175.5</v>
      </c>
    </row>
    <row r="746" spans="1:5" x14ac:dyDescent="0.25">
      <c r="A746" s="29">
        <v>46115</v>
      </c>
      <c r="B746" s="27" t="s">
        <v>51</v>
      </c>
      <c r="C746" s="17">
        <f>700*2.5</f>
        <v>1750</v>
      </c>
      <c r="D746" s="17"/>
      <c r="E746" s="28">
        <f t="shared" si="12"/>
        <v>4425.5</v>
      </c>
    </row>
    <row r="747" spans="1:5" x14ac:dyDescent="0.25">
      <c r="A747" s="29">
        <v>46116</v>
      </c>
      <c r="B747" s="27" t="s">
        <v>51</v>
      </c>
      <c r="C747" s="17">
        <f>900*2.5</f>
        <v>2250</v>
      </c>
      <c r="D747" s="17"/>
      <c r="E747" s="28">
        <f t="shared" si="12"/>
        <v>2175.5</v>
      </c>
    </row>
    <row r="748" spans="1:5" x14ac:dyDescent="0.25">
      <c r="A748" s="29">
        <v>46127</v>
      </c>
      <c r="B748" s="27" t="s">
        <v>51</v>
      </c>
      <c r="C748" s="17">
        <f>840*2.5</f>
        <v>2100</v>
      </c>
      <c r="D748" s="17"/>
      <c r="E748" s="28">
        <f t="shared" si="12"/>
        <v>75.5</v>
      </c>
    </row>
    <row r="749" spans="1:5" x14ac:dyDescent="0.25">
      <c r="A749" s="29"/>
      <c r="B749" s="27"/>
      <c r="C749" s="17"/>
      <c r="D749" s="17"/>
      <c r="E749" s="28">
        <f t="shared" si="12"/>
        <v>75.5</v>
      </c>
    </row>
    <row r="750" spans="1:5" x14ac:dyDescent="0.25">
      <c r="A750" s="29"/>
      <c r="B750" s="27"/>
      <c r="C750" s="17"/>
      <c r="D750" s="17"/>
      <c r="E750" s="28">
        <f t="shared" si="12"/>
        <v>75.5</v>
      </c>
    </row>
    <row r="751" spans="1:5" x14ac:dyDescent="0.25">
      <c r="A751" s="29"/>
      <c r="B751" s="27"/>
      <c r="C751" s="17"/>
      <c r="D751" s="17"/>
      <c r="E751" s="28">
        <f t="shared" si="12"/>
        <v>75.5</v>
      </c>
    </row>
    <row r="752" spans="1:5" x14ac:dyDescent="0.25">
      <c r="A752" s="29"/>
      <c r="B752" s="27"/>
      <c r="C752" s="17"/>
      <c r="D752" s="17"/>
      <c r="E752" s="28">
        <f t="shared" si="12"/>
        <v>75.5</v>
      </c>
    </row>
    <row r="753" spans="1:5" x14ac:dyDescent="0.25">
      <c r="A753" s="29"/>
      <c r="B753" s="27"/>
      <c r="C753" s="17"/>
      <c r="D753" s="17"/>
      <c r="E753" s="28">
        <f t="shared" si="12"/>
        <v>75.5</v>
      </c>
    </row>
    <row r="754" spans="1:5" x14ac:dyDescent="0.25">
      <c r="A754" s="29"/>
      <c r="B754" s="27"/>
      <c r="C754" s="17"/>
      <c r="D754" s="17"/>
      <c r="E754" s="28">
        <f t="shared" si="12"/>
        <v>75.5</v>
      </c>
    </row>
    <row r="755" spans="1:5" x14ac:dyDescent="0.25">
      <c r="A755" s="29"/>
      <c r="B755" s="27"/>
      <c r="C755" s="17"/>
      <c r="D755" s="17"/>
      <c r="E755" s="28">
        <f t="shared" si="12"/>
        <v>75.5</v>
      </c>
    </row>
    <row r="756" spans="1:5" x14ac:dyDescent="0.25">
      <c r="A756" s="29"/>
      <c r="B756" s="27"/>
      <c r="C756" s="17"/>
      <c r="D756" s="17"/>
      <c r="E756" s="28">
        <f t="shared" si="12"/>
        <v>75.5</v>
      </c>
    </row>
    <row r="757" spans="1:5" x14ac:dyDescent="0.25">
      <c r="A757" s="29"/>
      <c r="B757" s="27"/>
      <c r="C757" s="17"/>
      <c r="D757" s="17"/>
      <c r="E757" s="28">
        <f t="shared" si="12"/>
        <v>75.5</v>
      </c>
    </row>
    <row r="758" spans="1:5" x14ac:dyDescent="0.25">
      <c r="A758" s="29"/>
      <c r="B758" s="27"/>
      <c r="C758" s="17"/>
      <c r="D758" s="17"/>
      <c r="E758" s="28">
        <f t="shared" si="12"/>
        <v>75.5</v>
      </c>
    </row>
    <row r="759" spans="1:5" x14ac:dyDescent="0.25">
      <c r="A759" s="29"/>
      <c r="B759" s="27"/>
      <c r="C759" s="17"/>
      <c r="D759" s="17"/>
      <c r="E759" s="28">
        <f t="shared" si="12"/>
        <v>75.5</v>
      </c>
    </row>
    <row r="760" spans="1:5" x14ac:dyDescent="0.25">
      <c r="A760" s="29"/>
      <c r="B760" s="27"/>
      <c r="C760" s="17"/>
      <c r="D760" s="17"/>
      <c r="E760" s="28">
        <f t="shared" si="12"/>
        <v>75.5</v>
      </c>
    </row>
    <row r="761" spans="1:5" x14ac:dyDescent="0.25">
      <c r="A761" s="29"/>
      <c r="B761" s="27"/>
      <c r="C761" s="17"/>
      <c r="D761" s="17"/>
      <c r="E761" s="28">
        <f t="shared" si="12"/>
        <v>75.5</v>
      </c>
    </row>
    <row r="762" spans="1:5" x14ac:dyDescent="0.25">
      <c r="A762" s="29"/>
      <c r="B762" s="27"/>
      <c r="C762" s="17"/>
      <c r="D762" s="17"/>
      <c r="E762" s="28">
        <f t="shared" si="12"/>
        <v>75.5</v>
      </c>
    </row>
    <row r="763" spans="1:5" x14ac:dyDescent="0.25">
      <c r="A763" s="29"/>
      <c r="B763" s="27"/>
      <c r="C763" s="17"/>
      <c r="D763" s="17"/>
      <c r="E763" s="28">
        <f t="shared" si="12"/>
        <v>75.5</v>
      </c>
    </row>
    <row r="764" spans="1:5" x14ac:dyDescent="0.25">
      <c r="A764" s="29"/>
      <c r="B764" s="27"/>
      <c r="C764" s="17"/>
      <c r="D764" s="17"/>
      <c r="E764" s="28">
        <f t="shared" si="12"/>
        <v>75.5</v>
      </c>
    </row>
    <row r="765" spans="1:5" x14ac:dyDescent="0.25">
      <c r="A765" s="29"/>
      <c r="B765" s="27"/>
      <c r="C765" s="17"/>
      <c r="D765" s="17"/>
      <c r="E765" s="28">
        <f t="shared" si="12"/>
        <v>75.5</v>
      </c>
    </row>
    <row r="766" spans="1:5" x14ac:dyDescent="0.25">
      <c r="A766" s="29"/>
      <c r="B766" s="27"/>
      <c r="C766" s="17"/>
      <c r="D766" s="17"/>
      <c r="E766" s="28">
        <f t="shared" si="12"/>
        <v>75.5</v>
      </c>
    </row>
    <row r="767" spans="1:5" x14ac:dyDescent="0.25">
      <c r="A767" s="29"/>
      <c r="B767" s="27"/>
      <c r="C767" s="17"/>
      <c r="D767" s="17"/>
      <c r="E767" s="28">
        <f t="shared" si="12"/>
        <v>75.5</v>
      </c>
    </row>
    <row r="768" spans="1:5" x14ac:dyDescent="0.25">
      <c r="A768" s="29"/>
      <c r="B768" s="27"/>
      <c r="C768" s="17"/>
      <c r="D768" s="17"/>
      <c r="E768" s="28">
        <f t="shared" si="12"/>
        <v>75.5</v>
      </c>
    </row>
    <row r="769" spans="1:5" x14ac:dyDescent="0.25">
      <c r="A769" s="29"/>
      <c r="B769" s="27"/>
      <c r="C769" s="17"/>
      <c r="D769" s="17"/>
      <c r="E769" s="28">
        <f t="shared" si="12"/>
        <v>75.5</v>
      </c>
    </row>
    <row r="770" spans="1:5" x14ac:dyDescent="0.25">
      <c r="A770" s="29"/>
      <c r="B770" s="27"/>
      <c r="C770" s="17"/>
      <c r="D770" s="17"/>
      <c r="E770" s="28">
        <f t="shared" si="12"/>
        <v>75.5</v>
      </c>
    </row>
    <row r="771" spans="1:5" x14ac:dyDescent="0.25">
      <c r="A771" s="29"/>
      <c r="B771" s="27"/>
      <c r="C771" s="17"/>
      <c r="D771" s="17"/>
      <c r="E771" s="28">
        <f t="shared" si="12"/>
        <v>75.5</v>
      </c>
    </row>
    <row r="772" spans="1:5" x14ac:dyDescent="0.25">
      <c r="A772" s="29"/>
      <c r="B772" s="27"/>
      <c r="C772" s="17"/>
      <c r="D772" s="17"/>
      <c r="E772" s="28">
        <f t="shared" si="12"/>
        <v>75.5</v>
      </c>
    </row>
    <row r="773" spans="1:5" x14ac:dyDescent="0.25">
      <c r="A773" s="29"/>
      <c r="B773" s="27"/>
      <c r="C773" s="17"/>
      <c r="D773" s="17"/>
      <c r="E773" s="28">
        <f t="shared" si="12"/>
        <v>75.5</v>
      </c>
    </row>
    <row r="774" spans="1:5" x14ac:dyDescent="0.25">
      <c r="A774" s="29"/>
      <c r="B774" s="27"/>
      <c r="C774" s="17"/>
      <c r="D774" s="17"/>
      <c r="E774" s="28">
        <f t="shared" si="12"/>
        <v>75.5</v>
      </c>
    </row>
    <row r="775" spans="1:5" x14ac:dyDescent="0.25">
      <c r="A775" s="29"/>
      <c r="B775" s="27"/>
      <c r="C775" s="17"/>
      <c r="D775" s="17"/>
      <c r="E775" s="28">
        <f t="shared" si="12"/>
        <v>75.5</v>
      </c>
    </row>
    <row r="776" spans="1:5" x14ac:dyDescent="0.25">
      <c r="A776" s="29"/>
      <c r="B776" s="27"/>
      <c r="C776" s="17"/>
      <c r="D776" s="17"/>
      <c r="E776" s="28">
        <f t="shared" si="12"/>
        <v>75.5</v>
      </c>
    </row>
    <row r="777" spans="1:5" x14ac:dyDescent="0.25">
      <c r="A777" s="29"/>
      <c r="B777" s="27"/>
      <c r="C777" s="17"/>
      <c r="D777" s="17"/>
      <c r="E777" s="28">
        <f t="shared" si="12"/>
        <v>75.5</v>
      </c>
    </row>
    <row r="778" spans="1:5" x14ac:dyDescent="0.25">
      <c r="A778" s="29"/>
      <c r="B778" s="27"/>
      <c r="C778" s="17"/>
      <c r="D778" s="17"/>
      <c r="E778" s="28">
        <f t="shared" si="12"/>
        <v>75.5</v>
      </c>
    </row>
    <row r="779" spans="1:5" x14ac:dyDescent="0.25">
      <c r="A779" s="29"/>
      <c r="B779" s="27"/>
      <c r="C779" s="17"/>
      <c r="D779" s="17"/>
      <c r="E779" s="28">
        <f t="shared" si="12"/>
        <v>75.5</v>
      </c>
    </row>
    <row r="780" spans="1:5" x14ac:dyDescent="0.25">
      <c r="A780" s="29"/>
      <c r="B780" s="27"/>
      <c r="C780" s="17"/>
      <c r="D780" s="17"/>
      <c r="E780" s="28">
        <f t="shared" si="12"/>
        <v>75.5</v>
      </c>
    </row>
    <row r="781" spans="1:5" x14ac:dyDescent="0.25">
      <c r="A781" s="29"/>
      <c r="B781" s="27"/>
      <c r="C781" s="17"/>
      <c r="D781" s="17"/>
      <c r="E781" s="28">
        <f t="shared" si="12"/>
        <v>75.5</v>
      </c>
    </row>
    <row r="782" spans="1:5" x14ac:dyDescent="0.25">
      <c r="A782" s="29"/>
      <c r="B782" s="27"/>
      <c r="C782" s="17"/>
      <c r="D782" s="17"/>
      <c r="E782" s="28">
        <f t="shared" si="12"/>
        <v>75.5</v>
      </c>
    </row>
    <row r="783" spans="1:5" x14ac:dyDescent="0.25">
      <c r="A783" s="29"/>
      <c r="B783" s="27"/>
      <c r="C783" s="17"/>
      <c r="D783" s="17"/>
      <c r="E783" s="28">
        <f t="shared" si="12"/>
        <v>75.5</v>
      </c>
    </row>
    <row r="784" spans="1:5" x14ac:dyDescent="0.25">
      <c r="A784" s="29"/>
      <c r="B784" s="27"/>
      <c r="C784" s="17"/>
      <c r="D784" s="17"/>
      <c r="E784" s="28">
        <f t="shared" si="12"/>
        <v>75.5</v>
      </c>
    </row>
    <row r="785" spans="1:5" x14ac:dyDescent="0.25">
      <c r="A785" s="29"/>
      <c r="B785" s="27"/>
      <c r="C785" s="17"/>
      <c r="D785" s="17"/>
      <c r="E785" s="28">
        <f t="shared" ref="E785:E848" si="13">E784+D785-C785</f>
        <v>75.5</v>
      </c>
    </row>
    <row r="786" spans="1:5" x14ac:dyDescent="0.25">
      <c r="A786" s="29"/>
      <c r="B786" s="27"/>
      <c r="C786" s="17"/>
      <c r="D786" s="17"/>
      <c r="E786" s="28">
        <f t="shared" si="13"/>
        <v>75.5</v>
      </c>
    </row>
    <row r="787" spans="1:5" x14ac:dyDescent="0.25">
      <c r="A787" s="29"/>
      <c r="B787" s="27"/>
      <c r="C787" s="17"/>
      <c r="D787" s="17"/>
      <c r="E787" s="28">
        <f t="shared" si="13"/>
        <v>75.5</v>
      </c>
    </row>
    <row r="788" spans="1:5" x14ac:dyDescent="0.25">
      <c r="A788" s="29"/>
      <c r="B788" s="27"/>
      <c r="C788" s="17"/>
      <c r="D788" s="17"/>
      <c r="E788" s="28">
        <f t="shared" si="13"/>
        <v>75.5</v>
      </c>
    </row>
    <row r="789" spans="1:5" x14ac:dyDescent="0.25">
      <c r="A789" s="29"/>
      <c r="B789" s="27"/>
      <c r="C789" s="17"/>
      <c r="D789" s="17"/>
      <c r="E789" s="28">
        <f t="shared" si="13"/>
        <v>75.5</v>
      </c>
    </row>
    <row r="790" spans="1:5" x14ac:dyDescent="0.25">
      <c r="A790" s="29"/>
      <c r="B790" s="27"/>
      <c r="C790" s="17"/>
      <c r="D790" s="17"/>
      <c r="E790" s="28">
        <f t="shared" si="13"/>
        <v>75.5</v>
      </c>
    </row>
    <row r="791" spans="1:5" x14ac:dyDescent="0.25">
      <c r="A791" s="29"/>
      <c r="B791" s="27"/>
      <c r="C791" s="17"/>
      <c r="D791" s="17"/>
      <c r="E791" s="28">
        <f t="shared" si="13"/>
        <v>75.5</v>
      </c>
    </row>
    <row r="792" spans="1:5" x14ac:dyDescent="0.25">
      <c r="A792" s="29"/>
      <c r="B792" s="27"/>
      <c r="C792" s="17"/>
      <c r="D792" s="17"/>
      <c r="E792" s="28">
        <f t="shared" si="13"/>
        <v>75.5</v>
      </c>
    </row>
    <row r="793" spans="1:5" x14ac:dyDescent="0.25">
      <c r="A793" s="29"/>
      <c r="B793" s="27"/>
      <c r="C793" s="17"/>
      <c r="D793" s="17"/>
      <c r="E793" s="28">
        <f t="shared" si="13"/>
        <v>75.5</v>
      </c>
    </row>
    <row r="794" spans="1:5" x14ac:dyDescent="0.25">
      <c r="A794" s="29"/>
      <c r="B794" s="27"/>
      <c r="C794" s="17"/>
      <c r="D794" s="17"/>
      <c r="E794" s="28">
        <f t="shared" si="13"/>
        <v>75.5</v>
      </c>
    </row>
    <row r="795" spans="1:5" x14ac:dyDescent="0.25">
      <c r="A795" s="29"/>
      <c r="B795" s="27"/>
      <c r="C795" s="17"/>
      <c r="D795" s="17"/>
      <c r="E795" s="28">
        <f t="shared" si="13"/>
        <v>75.5</v>
      </c>
    </row>
    <row r="796" spans="1:5" x14ac:dyDescent="0.25">
      <c r="A796" s="29"/>
      <c r="B796" s="27"/>
      <c r="C796" s="17"/>
      <c r="D796" s="17"/>
      <c r="E796" s="28">
        <f t="shared" si="13"/>
        <v>75.5</v>
      </c>
    </row>
    <row r="797" spans="1:5" x14ac:dyDescent="0.25">
      <c r="A797" s="29"/>
      <c r="B797" s="27"/>
      <c r="C797" s="17"/>
      <c r="D797" s="17"/>
      <c r="E797" s="28">
        <f t="shared" si="13"/>
        <v>75.5</v>
      </c>
    </row>
    <row r="798" spans="1:5" x14ac:dyDescent="0.25">
      <c r="A798" s="29"/>
      <c r="B798" s="27"/>
      <c r="C798" s="17"/>
      <c r="D798" s="17"/>
      <c r="E798" s="28">
        <f t="shared" si="13"/>
        <v>75.5</v>
      </c>
    </row>
    <row r="799" spans="1:5" x14ac:dyDescent="0.25">
      <c r="A799" s="29"/>
      <c r="B799" s="27"/>
      <c r="C799" s="17"/>
      <c r="D799" s="17"/>
      <c r="E799" s="28">
        <f t="shared" si="13"/>
        <v>75.5</v>
      </c>
    </row>
    <row r="800" spans="1:5" x14ac:dyDescent="0.25">
      <c r="A800" s="29"/>
      <c r="B800" s="27"/>
      <c r="C800" s="17"/>
      <c r="D800" s="17"/>
      <c r="E800" s="28">
        <f t="shared" si="13"/>
        <v>75.5</v>
      </c>
    </row>
    <row r="801" spans="1:5" x14ac:dyDescent="0.25">
      <c r="A801" s="29"/>
      <c r="B801" s="27"/>
      <c r="C801" s="17"/>
      <c r="D801" s="17"/>
      <c r="E801" s="28">
        <f t="shared" si="13"/>
        <v>75.5</v>
      </c>
    </row>
    <row r="802" spans="1:5" x14ac:dyDescent="0.25">
      <c r="A802" s="29"/>
      <c r="B802" s="27"/>
      <c r="C802" s="17"/>
      <c r="D802" s="17"/>
      <c r="E802" s="28">
        <f t="shared" si="13"/>
        <v>75.5</v>
      </c>
    </row>
    <row r="803" spans="1:5" x14ac:dyDescent="0.25">
      <c r="A803" s="29"/>
      <c r="B803" s="27"/>
      <c r="C803" s="17"/>
      <c r="D803" s="17"/>
      <c r="E803" s="28">
        <f t="shared" si="13"/>
        <v>75.5</v>
      </c>
    </row>
    <row r="804" spans="1:5" x14ac:dyDescent="0.25">
      <c r="A804" s="29"/>
      <c r="B804" s="27"/>
      <c r="C804" s="17"/>
      <c r="D804" s="17"/>
      <c r="E804" s="28">
        <f t="shared" si="13"/>
        <v>75.5</v>
      </c>
    </row>
    <row r="805" spans="1:5" x14ac:dyDescent="0.25">
      <c r="A805" s="29"/>
      <c r="B805" s="27"/>
      <c r="C805" s="17"/>
      <c r="D805" s="17"/>
      <c r="E805" s="28">
        <f t="shared" si="13"/>
        <v>75.5</v>
      </c>
    </row>
    <row r="806" spans="1:5" x14ac:dyDescent="0.25">
      <c r="A806" s="29"/>
      <c r="B806" s="27"/>
      <c r="C806" s="17"/>
      <c r="D806" s="17"/>
      <c r="E806" s="28">
        <f t="shared" si="13"/>
        <v>75.5</v>
      </c>
    </row>
    <row r="807" spans="1:5" x14ac:dyDescent="0.25">
      <c r="A807" s="29"/>
      <c r="B807" s="27"/>
      <c r="C807" s="17"/>
      <c r="D807" s="17"/>
      <c r="E807" s="28">
        <f t="shared" si="13"/>
        <v>75.5</v>
      </c>
    </row>
    <row r="808" spans="1:5" x14ac:dyDescent="0.25">
      <c r="A808" s="29"/>
      <c r="B808" s="27"/>
      <c r="C808" s="17"/>
      <c r="D808" s="17"/>
      <c r="E808" s="28">
        <f t="shared" si="13"/>
        <v>75.5</v>
      </c>
    </row>
    <row r="809" spans="1:5" x14ac:dyDescent="0.25">
      <c r="A809" s="29"/>
      <c r="B809" s="27"/>
      <c r="C809" s="17"/>
      <c r="D809" s="17"/>
      <c r="E809" s="28">
        <f t="shared" si="13"/>
        <v>75.5</v>
      </c>
    </row>
    <row r="810" spans="1:5" x14ac:dyDescent="0.25">
      <c r="A810" s="29"/>
      <c r="B810" s="27"/>
      <c r="C810" s="17"/>
      <c r="D810" s="17"/>
      <c r="E810" s="28">
        <f t="shared" si="13"/>
        <v>75.5</v>
      </c>
    </row>
    <row r="811" spans="1:5" x14ac:dyDescent="0.25">
      <c r="A811" s="29"/>
      <c r="B811" s="27"/>
      <c r="C811" s="17"/>
      <c r="D811" s="17"/>
      <c r="E811" s="28">
        <f t="shared" si="13"/>
        <v>75.5</v>
      </c>
    </row>
    <row r="812" spans="1:5" x14ac:dyDescent="0.25">
      <c r="A812" s="29"/>
      <c r="B812" s="27"/>
      <c r="C812" s="17"/>
      <c r="D812" s="17"/>
      <c r="E812" s="28">
        <f t="shared" si="13"/>
        <v>75.5</v>
      </c>
    </row>
    <row r="813" spans="1:5" x14ac:dyDescent="0.25">
      <c r="A813" s="29"/>
      <c r="B813" s="27"/>
      <c r="C813" s="17"/>
      <c r="D813" s="17"/>
      <c r="E813" s="28">
        <f t="shared" si="13"/>
        <v>75.5</v>
      </c>
    </row>
    <row r="814" spans="1:5" x14ac:dyDescent="0.25">
      <c r="A814" s="29"/>
      <c r="B814" s="27"/>
      <c r="C814" s="17"/>
      <c r="D814" s="17"/>
      <c r="E814" s="28">
        <f t="shared" si="13"/>
        <v>75.5</v>
      </c>
    </row>
    <row r="815" spans="1:5" x14ac:dyDescent="0.25">
      <c r="A815" s="29"/>
      <c r="B815" s="27"/>
      <c r="C815" s="17"/>
      <c r="D815" s="17"/>
      <c r="E815" s="28">
        <f t="shared" si="13"/>
        <v>75.5</v>
      </c>
    </row>
    <row r="816" spans="1:5" x14ac:dyDescent="0.25">
      <c r="A816" s="29"/>
      <c r="B816" s="27"/>
      <c r="C816" s="17"/>
      <c r="D816" s="17"/>
      <c r="E816" s="28">
        <f t="shared" si="13"/>
        <v>75.5</v>
      </c>
    </row>
    <row r="817" spans="1:5" x14ac:dyDescent="0.25">
      <c r="A817" s="29"/>
      <c r="B817" s="27"/>
      <c r="C817" s="17"/>
      <c r="D817" s="17"/>
      <c r="E817" s="28">
        <f t="shared" si="13"/>
        <v>75.5</v>
      </c>
    </row>
    <row r="818" spans="1:5" x14ac:dyDescent="0.25">
      <c r="A818" s="29"/>
      <c r="B818" s="27"/>
      <c r="C818" s="17"/>
      <c r="D818" s="17"/>
      <c r="E818" s="28">
        <f t="shared" si="13"/>
        <v>75.5</v>
      </c>
    </row>
    <row r="819" spans="1:5" x14ac:dyDescent="0.25">
      <c r="A819" s="29"/>
      <c r="B819" s="27"/>
      <c r="C819" s="17"/>
      <c r="D819" s="17"/>
      <c r="E819" s="28">
        <f t="shared" si="13"/>
        <v>75.5</v>
      </c>
    </row>
    <row r="820" spans="1:5" x14ac:dyDescent="0.25">
      <c r="A820" s="29"/>
      <c r="B820" s="27"/>
      <c r="C820" s="17"/>
      <c r="D820" s="17"/>
      <c r="E820" s="28">
        <f t="shared" si="13"/>
        <v>75.5</v>
      </c>
    </row>
    <row r="821" spans="1:5" x14ac:dyDescent="0.25">
      <c r="A821" s="29"/>
      <c r="B821" s="27"/>
      <c r="C821" s="17"/>
      <c r="D821" s="17"/>
      <c r="E821" s="28">
        <f t="shared" si="13"/>
        <v>75.5</v>
      </c>
    </row>
    <row r="822" spans="1:5" x14ac:dyDescent="0.25">
      <c r="A822" s="29"/>
      <c r="B822" s="27"/>
      <c r="C822" s="17"/>
      <c r="D822" s="17"/>
      <c r="E822" s="28">
        <f t="shared" si="13"/>
        <v>75.5</v>
      </c>
    </row>
    <row r="823" spans="1:5" x14ac:dyDescent="0.25">
      <c r="A823" s="29"/>
      <c r="B823" s="27"/>
      <c r="C823" s="17"/>
      <c r="D823" s="17"/>
      <c r="E823" s="28">
        <f t="shared" si="13"/>
        <v>75.5</v>
      </c>
    </row>
    <row r="824" spans="1:5" x14ac:dyDescent="0.25">
      <c r="A824" s="29"/>
      <c r="B824" s="27"/>
      <c r="C824" s="17"/>
      <c r="D824" s="17"/>
      <c r="E824" s="28">
        <f t="shared" si="13"/>
        <v>75.5</v>
      </c>
    </row>
    <row r="825" spans="1:5" x14ac:dyDescent="0.25">
      <c r="A825" s="29"/>
      <c r="B825" s="27"/>
      <c r="C825" s="17"/>
      <c r="D825" s="17"/>
      <c r="E825" s="28">
        <f t="shared" si="13"/>
        <v>75.5</v>
      </c>
    </row>
    <row r="826" spans="1:5" x14ac:dyDescent="0.25">
      <c r="A826" s="29"/>
      <c r="B826" s="27"/>
      <c r="C826" s="17"/>
      <c r="D826" s="17"/>
      <c r="E826" s="28">
        <f t="shared" si="13"/>
        <v>75.5</v>
      </c>
    </row>
    <row r="827" spans="1:5" x14ac:dyDescent="0.25">
      <c r="A827" s="29"/>
      <c r="B827" s="27"/>
      <c r="C827" s="17"/>
      <c r="D827" s="17"/>
      <c r="E827" s="28">
        <f t="shared" si="13"/>
        <v>75.5</v>
      </c>
    </row>
    <row r="828" spans="1:5" x14ac:dyDescent="0.25">
      <c r="A828" s="29"/>
      <c r="B828" s="27"/>
      <c r="C828" s="17"/>
      <c r="D828" s="17"/>
      <c r="E828" s="28">
        <f t="shared" si="13"/>
        <v>75.5</v>
      </c>
    </row>
    <row r="829" spans="1:5" x14ac:dyDescent="0.25">
      <c r="A829" s="29"/>
      <c r="B829" s="27"/>
      <c r="C829" s="17"/>
      <c r="D829" s="17"/>
      <c r="E829" s="28">
        <f t="shared" si="13"/>
        <v>75.5</v>
      </c>
    </row>
    <row r="830" spans="1:5" x14ac:dyDescent="0.25">
      <c r="A830" s="29"/>
      <c r="B830" s="27"/>
      <c r="C830" s="17"/>
      <c r="D830" s="17"/>
      <c r="E830" s="28">
        <f t="shared" si="13"/>
        <v>75.5</v>
      </c>
    </row>
    <row r="831" spans="1:5" x14ac:dyDescent="0.25">
      <c r="A831" s="29"/>
      <c r="B831" s="27"/>
      <c r="C831" s="17"/>
      <c r="D831" s="17"/>
      <c r="E831" s="28">
        <f t="shared" si="13"/>
        <v>75.5</v>
      </c>
    </row>
    <row r="832" spans="1:5" x14ac:dyDescent="0.25">
      <c r="A832" s="29"/>
      <c r="B832" s="27"/>
      <c r="C832" s="17"/>
      <c r="D832" s="17"/>
      <c r="E832" s="28">
        <f t="shared" si="13"/>
        <v>75.5</v>
      </c>
    </row>
    <row r="833" spans="1:5" x14ac:dyDescent="0.25">
      <c r="A833" s="29"/>
      <c r="B833" s="27"/>
      <c r="C833" s="17"/>
      <c r="D833" s="17"/>
      <c r="E833" s="28">
        <f t="shared" si="13"/>
        <v>75.5</v>
      </c>
    </row>
    <row r="834" spans="1:5" x14ac:dyDescent="0.25">
      <c r="A834" s="29"/>
      <c r="B834" s="27"/>
      <c r="C834" s="17"/>
      <c r="D834" s="17"/>
      <c r="E834" s="28">
        <f t="shared" si="13"/>
        <v>75.5</v>
      </c>
    </row>
    <row r="835" spans="1:5" x14ac:dyDescent="0.25">
      <c r="A835" s="29"/>
      <c r="B835" s="27"/>
      <c r="C835" s="17"/>
      <c r="D835" s="17"/>
      <c r="E835" s="28">
        <f t="shared" si="13"/>
        <v>75.5</v>
      </c>
    </row>
    <row r="836" spans="1:5" x14ac:dyDescent="0.25">
      <c r="A836" s="29"/>
      <c r="B836" s="27"/>
      <c r="C836" s="17"/>
      <c r="D836" s="17"/>
      <c r="E836" s="28">
        <f t="shared" si="13"/>
        <v>75.5</v>
      </c>
    </row>
    <row r="837" spans="1:5" x14ac:dyDescent="0.25">
      <c r="A837" s="29"/>
      <c r="B837" s="27"/>
      <c r="C837" s="17"/>
      <c r="D837" s="17"/>
      <c r="E837" s="28">
        <f t="shared" si="13"/>
        <v>75.5</v>
      </c>
    </row>
    <row r="838" spans="1:5" x14ac:dyDescent="0.25">
      <c r="A838" s="29"/>
      <c r="B838" s="27"/>
      <c r="C838" s="17"/>
      <c r="D838" s="17"/>
      <c r="E838" s="28">
        <f t="shared" si="13"/>
        <v>75.5</v>
      </c>
    </row>
    <row r="839" spans="1:5" x14ac:dyDescent="0.25">
      <c r="A839" s="29"/>
      <c r="B839" s="27"/>
      <c r="C839" s="17"/>
      <c r="D839" s="17"/>
      <c r="E839" s="28">
        <f t="shared" si="13"/>
        <v>75.5</v>
      </c>
    </row>
    <row r="840" spans="1:5" x14ac:dyDescent="0.25">
      <c r="A840" s="29"/>
      <c r="B840" s="27"/>
      <c r="C840" s="17"/>
      <c r="D840" s="17"/>
      <c r="E840" s="28">
        <f t="shared" si="13"/>
        <v>75.5</v>
      </c>
    </row>
    <row r="841" spans="1:5" x14ac:dyDescent="0.25">
      <c r="A841" s="29"/>
      <c r="B841" s="27"/>
      <c r="C841" s="17"/>
      <c r="D841" s="17"/>
      <c r="E841" s="28">
        <f t="shared" si="13"/>
        <v>75.5</v>
      </c>
    </row>
    <row r="842" spans="1:5" x14ac:dyDescent="0.25">
      <c r="A842" s="29"/>
      <c r="B842" s="27"/>
      <c r="C842" s="17"/>
      <c r="D842" s="17"/>
      <c r="E842" s="28">
        <f t="shared" si="13"/>
        <v>75.5</v>
      </c>
    </row>
    <row r="843" spans="1:5" x14ac:dyDescent="0.25">
      <c r="A843" s="29"/>
      <c r="B843" s="27"/>
      <c r="C843" s="17"/>
      <c r="D843" s="17"/>
      <c r="E843" s="28">
        <f t="shared" si="13"/>
        <v>75.5</v>
      </c>
    </row>
    <row r="844" spans="1:5" x14ac:dyDescent="0.25">
      <c r="A844" s="29"/>
      <c r="B844" s="27"/>
      <c r="C844" s="17"/>
      <c r="D844" s="17"/>
      <c r="E844" s="28">
        <f t="shared" si="13"/>
        <v>75.5</v>
      </c>
    </row>
    <row r="845" spans="1:5" x14ac:dyDescent="0.25">
      <c r="A845" s="29"/>
      <c r="B845" s="27"/>
      <c r="C845" s="17"/>
      <c r="D845" s="17"/>
      <c r="E845" s="28">
        <f t="shared" si="13"/>
        <v>75.5</v>
      </c>
    </row>
    <row r="846" spans="1:5" x14ac:dyDescent="0.25">
      <c r="A846" s="29"/>
      <c r="B846" s="27"/>
      <c r="C846" s="17"/>
      <c r="D846" s="17"/>
      <c r="E846" s="28">
        <f t="shared" si="13"/>
        <v>75.5</v>
      </c>
    </row>
    <row r="847" spans="1:5" x14ac:dyDescent="0.25">
      <c r="A847" s="29"/>
      <c r="B847" s="27"/>
      <c r="C847" s="17"/>
      <c r="D847" s="17"/>
      <c r="E847" s="28">
        <f t="shared" si="13"/>
        <v>75.5</v>
      </c>
    </row>
    <row r="848" spans="1:5" x14ac:dyDescent="0.25">
      <c r="A848" s="29"/>
      <c r="B848" s="27"/>
      <c r="C848" s="17"/>
      <c r="D848" s="17"/>
      <c r="E848" s="28">
        <f t="shared" si="13"/>
        <v>75.5</v>
      </c>
    </row>
    <row r="849" spans="1:5" x14ac:dyDescent="0.25">
      <c r="A849" s="29"/>
      <c r="B849" s="27"/>
      <c r="C849" s="17"/>
      <c r="D849" s="17"/>
      <c r="E849" s="28">
        <f t="shared" ref="E849:E912" si="14">E848+D849-C849</f>
        <v>75.5</v>
      </c>
    </row>
    <row r="850" spans="1:5" x14ac:dyDescent="0.25">
      <c r="A850" s="29"/>
      <c r="B850" s="27"/>
      <c r="C850" s="17"/>
      <c r="D850" s="17"/>
      <c r="E850" s="28">
        <f t="shared" si="14"/>
        <v>75.5</v>
      </c>
    </row>
    <row r="851" spans="1:5" x14ac:dyDescent="0.25">
      <c r="A851" s="29"/>
      <c r="B851" s="27"/>
      <c r="C851" s="17"/>
      <c r="D851" s="17"/>
      <c r="E851" s="28">
        <f t="shared" si="14"/>
        <v>75.5</v>
      </c>
    </row>
    <row r="852" spans="1:5" x14ac:dyDescent="0.25">
      <c r="A852" s="29"/>
      <c r="B852" s="27"/>
      <c r="C852" s="17"/>
      <c r="D852" s="17"/>
      <c r="E852" s="28">
        <f t="shared" si="14"/>
        <v>75.5</v>
      </c>
    </row>
    <row r="853" spans="1:5" x14ac:dyDescent="0.25">
      <c r="A853" s="29"/>
      <c r="B853" s="27"/>
      <c r="C853" s="17"/>
      <c r="D853" s="17"/>
      <c r="E853" s="28">
        <f t="shared" si="14"/>
        <v>75.5</v>
      </c>
    </row>
    <row r="854" spans="1:5" x14ac:dyDescent="0.25">
      <c r="A854" s="29"/>
      <c r="B854" s="27"/>
      <c r="C854" s="17"/>
      <c r="D854" s="17"/>
      <c r="E854" s="28">
        <f t="shared" si="14"/>
        <v>75.5</v>
      </c>
    </row>
    <row r="855" spans="1:5" x14ac:dyDescent="0.25">
      <c r="A855" s="29"/>
      <c r="B855" s="27"/>
      <c r="C855" s="17"/>
      <c r="D855" s="17"/>
      <c r="E855" s="28">
        <f t="shared" si="14"/>
        <v>75.5</v>
      </c>
    </row>
    <row r="856" spans="1:5" x14ac:dyDescent="0.25">
      <c r="A856" s="29"/>
      <c r="B856" s="27"/>
      <c r="C856" s="17"/>
      <c r="D856" s="17"/>
      <c r="E856" s="28">
        <f t="shared" si="14"/>
        <v>75.5</v>
      </c>
    </row>
    <row r="857" spans="1:5" x14ac:dyDescent="0.25">
      <c r="A857" s="29"/>
      <c r="B857" s="27"/>
      <c r="C857" s="17"/>
      <c r="D857" s="17"/>
      <c r="E857" s="28">
        <f t="shared" si="14"/>
        <v>75.5</v>
      </c>
    </row>
    <row r="858" spans="1:5" x14ac:dyDescent="0.25">
      <c r="A858" s="29"/>
      <c r="B858" s="27"/>
      <c r="C858" s="17"/>
      <c r="D858" s="17"/>
      <c r="E858" s="28">
        <f t="shared" si="14"/>
        <v>75.5</v>
      </c>
    </row>
    <row r="859" spans="1:5" x14ac:dyDescent="0.25">
      <c r="A859" s="29"/>
      <c r="B859" s="27"/>
      <c r="C859" s="17"/>
      <c r="D859" s="17"/>
      <c r="E859" s="28">
        <f t="shared" si="14"/>
        <v>75.5</v>
      </c>
    </row>
    <row r="860" spans="1:5" x14ac:dyDescent="0.25">
      <c r="A860" s="29"/>
      <c r="B860" s="27"/>
      <c r="C860" s="17"/>
      <c r="D860" s="17"/>
      <c r="E860" s="28">
        <f t="shared" si="14"/>
        <v>75.5</v>
      </c>
    </row>
    <row r="861" spans="1:5" x14ac:dyDescent="0.25">
      <c r="A861" s="29"/>
      <c r="B861" s="27"/>
      <c r="C861" s="17"/>
      <c r="D861" s="17"/>
      <c r="E861" s="28">
        <f t="shared" si="14"/>
        <v>75.5</v>
      </c>
    </row>
    <row r="862" spans="1:5" x14ac:dyDescent="0.25">
      <c r="A862" s="29"/>
      <c r="B862" s="27"/>
      <c r="C862" s="17"/>
      <c r="D862" s="17"/>
      <c r="E862" s="28">
        <f t="shared" si="14"/>
        <v>75.5</v>
      </c>
    </row>
    <row r="863" spans="1:5" x14ac:dyDescent="0.25">
      <c r="A863" s="29"/>
      <c r="B863" s="27"/>
      <c r="C863" s="17"/>
      <c r="D863" s="17"/>
      <c r="E863" s="28">
        <f t="shared" si="14"/>
        <v>75.5</v>
      </c>
    </row>
    <row r="864" spans="1:5" x14ac:dyDescent="0.25">
      <c r="A864" s="29"/>
      <c r="B864" s="27"/>
      <c r="C864" s="17"/>
      <c r="D864" s="17"/>
      <c r="E864" s="28">
        <f t="shared" si="14"/>
        <v>75.5</v>
      </c>
    </row>
    <row r="865" spans="1:5" x14ac:dyDescent="0.25">
      <c r="A865" s="29"/>
      <c r="B865" s="27"/>
      <c r="C865" s="17"/>
      <c r="D865" s="17"/>
      <c r="E865" s="28">
        <f t="shared" si="14"/>
        <v>75.5</v>
      </c>
    </row>
    <row r="866" spans="1:5" x14ac:dyDescent="0.25">
      <c r="A866" s="29"/>
      <c r="B866" s="27"/>
      <c r="C866" s="17"/>
      <c r="D866" s="17"/>
      <c r="E866" s="28">
        <f t="shared" si="14"/>
        <v>75.5</v>
      </c>
    </row>
    <row r="867" spans="1:5" x14ac:dyDescent="0.25">
      <c r="A867" s="29"/>
      <c r="B867" s="27"/>
      <c r="C867" s="17"/>
      <c r="D867" s="17"/>
      <c r="E867" s="28">
        <f t="shared" si="14"/>
        <v>75.5</v>
      </c>
    </row>
    <row r="868" spans="1:5" x14ac:dyDescent="0.25">
      <c r="A868" s="29"/>
      <c r="B868" s="27"/>
      <c r="C868" s="17"/>
      <c r="D868" s="17"/>
      <c r="E868" s="28">
        <f t="shared" si="14"/>
        <v>75.5</v>
      </c>
    </row>
    <row r="869" spans="1:5" x14ac:dyDescent="0.25">
      <c r="A869" s="29"/>
      <c r="B869" s="27"/>
      <c r="C869" s="17"/>
      <c r="D869" s="17"/>
      <c r="E869" s="28">
        <f t="shared" si="14"/>
        <v>75.5</v>
      </c>
    </row>
    <row r="870" spans="1:5" x14ac:dyDescent="0.25">
      <c r="A870" s="29"/>
      <c r="B870" s="27"/>
      <c r="C870" s="17"/>
      <c r="D870" s="17"/>
      <c r="E870" s="28">
        <f t="shared" si="14"/>
        <v>75.5</v>
      </c>
    </row>
    <row r="871" spans="1:5" x14ac:dyDescent="0.25">
      <c r="A871" s="29"/>
      <c r="B871" s="27"/>
      <c r="C871" s="17"/>
      <c r="D871" s="17"/>
      <c r="E871" s="28">
        <f t="shared" si="14"/>
        <v>75.5</v>
      </c>
    </row>
    <row r="872" spans="1:5" x14ac:dyDescent="0.25">
      <c r="A872" s="29"/>
      <c r="B872" s="27"/>
      <c r="C872" s="17"/>
      <c r="D872" s="17"/>
      <c r="E872" s="28">
        <f t="shared" si="14"/>
        <v>75.5</v>
      </c>
    </row>
    <row r="873" spans="1:5" x14ac:dyDescent="0.25">
      <c r="A873" s="29"/>
      <c r="B873" s="27"/>
      <c r="C873" s="17"/>
      <c r="D873" s="17"/>
      <c r="E873" s="28">
        <f t="shared" si="14"/>
        <v>75.5</v>
      </c>
    </row>
    <row r="874" spans="1:5" x14ac:dyDescent="0.25">
      <c r="A874" s="29"/>
      <c r="B874" s="27"/>
      <c r="C874" s="17"/>
      <c r="D874" s="17"/>
      <c r="E874" s="28">
        <f t="shared" si="14"/>
        <v>75.5</v>
      </c>
    </row>
    <row r="875" spans="1:5" x14ac:dyDescent="0.25">
      <c r="A875" s="29"/>
      <c r="B875" s="27"/>
      <c r="C875" s="17"/>
      <c r="D875" s="17"/>
      <c r="E875" s="28">
        <f t="shared" si="14"/>
        <v>75.5</v>
      </c>
    </row>
    <row r="876" spans="1:5" x14ac:dyDescent="0.25">
      <c r="A876" s="29"/>
      <c r="B876" s="27"/>
      <c r="C876" s="17"/>
      <c r="D876" s="17"/>
      <c r="E876" s="28">
        <f t="shared" si="14"/>
        <v>75.5</v>
      </c>
    </row>
    <row r="877" spans="1:5" x14ac:dyDescent="0.25">
      <c r="A877" s="29"/>
      <c r="B877" s="27"/>
      <c r="C877" s="17"/>
      <c r="D877" s="17"/>
      <c r="E877" s="28">
        <f t="shared" si="14"/>
        <v>75.5</v>
      </c>
    </row>
    <row r="878" spans="1:5" x14ac:dyDescent="0.25">
      <c r="A878" s="29"/>
      <c r="B878" s="27"/>
      <c r="C878" s="17"/>
      <c r="D878" s="17"/>
      <c r="E878" s="28">
        <f t="shared" si="14"/>
        <v>75.5</v>
      </c>
    </row>
    <row r="879" spans="1:5" x14ac:dyDescent="0.25">
      <c r="A879" s="29"/>
      <c r="B879" s="27"/>
      <c r="C879" s="17"/>
      <c r="D879" s="17"/>
      <c r="E879" s="28">
        <f t="shared" si="14"/>
        <v>75.5</v>
      </c>
    </row>
    <row r="880" spans="1:5" x14ac:dyDescent="0.25">
      <c r="A880" s="29"/>
      <c r="B880" s="27"/>
      <c r="C880" s="17"/>
      <c r="D880" s="17"/>
      <c r="E880" s="28">
        <f t="shared" si="14"/>
        <v>75.5</v>
      </c>
    </row>
    <row r="881" spans="1:5" x14ac:dyDescent="0.25">
      <c r="A881" s="29"/>
      <c r="B881" s="27"/>
      <c r="C881" s="17"/>
      <c r="D881" s="17"/>
      <c r="E881" s="28">
        <f t="shared" si="14"/>
        <v>75.5</v>
      </c>
    </row>
    <row r="882" spans="1:5" x14ac:dyDescent="0.25">
      <c r="A882" s="29"/>
      <c r="B882" s="27"/>
      <c r="C882" s="17"/>
      <c r="D882" s="17"/>
      <c r="E882" s="28">
        <f t="shared" si="14"/>
        <v>75.5</v>
      </c>
    </row>
    <row r="883" spans="1:5" x14ac:dyDescent="0.25">
      <c r="A883" s="29"/>
      <c r="B883" s="27"/>
      <c r="C883" s="17"/>
      <c r="D883" s="17"/>
      <c r="E883" s="28">
        <f t="shared" si="14"/>
        <v>75.5</v>
      </c>
    </row>
    <row r="884" spans="1:5" x14ac:dyDescent="0.25">
      <c r="A884" s="29"/>
      <c r="B884" s="27"/>
      <c r="C884" s="17"/>
      <c r="D884" s="17"/>
      <c r="E884" s="28">
        <f t="shared" si="14"/>
        <v>75.5</v>
      </c>
    </row>
    <row r="885" spans="1:5" x14ac:dyDescent="0.25">
      <c r="A885" s="29"/>
      <c r="B885" s="27"/>
      <c r="C885" s="17"/>
      <c r="D885" s="17"/>
      <c r="E885" s="28">
        <f t="shared" si="14"/>
        <v>75.5</v>
      </c>
    </row>
    <row r="886" spans="1:5" x14ac:dyDescent="0.25">
      <c r="A886" s="29"/>
      <c r="B886" s="27"/>
      <c r="C886" s="17"/>
      <c r="D886" s="17"/>
      <c r="E886" s="28">
        <f t="shared" si="14"/>
        <v>75.5</v>
      </c>
    </row>
    <row r="887" spans="1:5" x14ac:dyDescent="0.25">
      <c r="A887" s="29"/>
      <c r="B887" s="27"/>
      <c r="C887" s="17"/>
      <c r="D887" s="17"/>
      <c r="E887" s="28">
        <f t="shared" si="14"/>
        <v>75.5</v>
      </c>
    </row>
    <row r="888" spans="1:5" x14ac:dyDescent="0.25">
      <c r="A888" s="29"/>
      <c r="B888" s="27"/>
      <c r="C888" s="17"/>
      <c r="D888" s="17"/>
      <c r="E888" s="28">
        <f t="shared" si="14"/>
        <v>75.5</v>
      </c>
    </row>
    <row r="889" spans="1:5" x14ac:dyDescent="0.25">
      <c r="A889" s="29"/>
      <c r="B889" s="27"/>
      <c r="C889" s="17"/>
      <c r="D889" s="17"/>
      <c r="E889" s="28">
        <f t="shared" si="14"/>
        <v>75.5</v>
      </c>
    </row>
    <row r="890" spans="1:5" x14ac:dyDescent="0.25">
      <c r="A890" s="29"/>
      <c r="B890" s="27"/>
      <c r="C890" s="17"/>
      <c r="D890" s="17"/>
      <c r="E890" s="28">
        <f t="shared" si="14"/>
        <v>75.5</v>
      </c>
    </row>
    <row r="891" spans="1:5" x14ac:dyDescent="0.25">
      <c r="A891" s="29"/>
      <c r="B891" s="27"/>
      <c r="C891" s="17"/>
      <c r="D891" s="17"/>
      <c r="E891" s="28">
        <f t="shared" si="14"/>
        <v>75.5</v>
      </c>
    </row>
    <row r="892" spans="1:5" x14ac:dyDescent="0.25">
      <c r="A892" s="29"/>
      <c r="B892" s="27"/>
      <c r="C892" s="17"/>
      <c r="D892" s="17"/>
      <c r="E892" s="28">
        <f t="shared" si="14"/>
        <v>75.5</v>
      </c>
    </row>
    <row r="893" spans="1:5" x14ac:dyDescent="0.25">
      <c r="A893" s="29"/>
      <c r="B893" s="27"/>
      <c r="C893" s="17"/>
      <c r="D893" s="17"/>
      <c r="E893" s="28">
        <f t="shared" si="14"/>
        <v>75.5</v>
      </c>
    </row>
    <row r="894" spans="1:5" x14ac:dyDescent="0.25">
      <c r="A894" s="29"/>
      <c r="B894" s="27"/>
      <c r="C894" s="17"/>
      <c r="D894" s="17"/>
      <c r="E894" s="28">
        <f t="shared" si="14"/>
        <v>75.5</v>
      </c>
    </row>
    <row r="895" spans="1:5" x14ac:dyDescent="0.25">
      <c r="A895" s="29"/>
      <c r="B895" s="27"/>
      <c r="C895" s="17"/>
      <c r="D895" s="17"/>
      <c r="E895" s="28">
        <f t="shared" si="14"/>
        <v>75.5</v>
      </c>
    </row>
    <row r="896" spans="1:5" x14ac:dyDescent="0.25">
      <c r="A896" s="29"/>
      <c r="B896" s="27"/>
      <c r="C896" s="17"/>
      <c r="D896" s="17"/>
      <c r="E896" s="28">
        <f t="shared" si="14"/>
        <v>75.5</v>
      </c>
    </row>
    <row r="897" spans="1:5" x14ac:dyDescent="0.25">
      <c r="A897" s="29"/>
      <c r="B897" s="27"/>
      <c r="C897" s="17"/>
      <c r="D897" s="17"/>
      <c r="E897" s="28">
        <f t="shared" si="14"/>
        <v>75.5</v>
      </c>
    </row>
    <row r="898" spans="1:5" x14ac:dyDescent="0.25">
      <c r="A898" s="29"/>
      <c r="B898" s="27"/>
      <c r="C898" s="17"/>
      <c r="D898" s="17"/>
      <c r="E898" s="28">
        <f t="shared" si="14"/>
        <v>75.5</v>
      </c>
    </row>
    <row r="899" spans="1:5" x14ac:dyDescent="0.25">
      <c r="A899" s="29"/>
      <c r="B899" s="27"/>
      <c r="C899" s="17"/>
      <c r="D899" s="17"/>
      <c r="E899" s="28">
        <f t="shared" si="14"/>
        <v>75.5</v>
      </c>
    </row>
    <row r="900" spans="1:5" x14ac:dyDescent="0.25">
      <c r="A900" s="29"/>
      <c r="B900" s="27"/>
      <c r="C900" s="17"/>
      <c r="D900" s="17"/>
      <c r="E900" s="28">
        <f t="shared" si="14"/>
        <v>75.5</v>
      </c>
    </row>
    <row r="901" spans="1:5" x14ac:dyDescent="0.25">
      <c r="A901" s="29"/>
      <c r="B901" s="27"/>
      <c r="C901" s="17"/>
      <c r="D901" s="17"/>
      <c r="E901" s="28">
        <f t="shared" si="14"/>
        <v>75.5</v>
      </c>
    </row>
    <row r="902" spans="1:5" x14ac:dyDescent="0.25">
      <c r="A902" s="29"/>
      <c r="B902" s="27"/>
      <c r="C902" s="17"/>
      <c r="D902" s="17"/>
      <c r="E902" s="28">
        <f t="shared" si="14"/>
        <v>75.5</v>
      </c>
    </row>
    <row r="903" spans="1:5" x14ac:dyDescent="0.25">
      <c r="A903" s="29"/>
      <c r="B903" s="27"/>
      <c r="C903" s="17"/>
      <c r="D903" s="17"/>
      <c r="E903" s="28">
        <f t="shared" si="14"/>
        <v>75.5</v>
      </c>
    </row>
    <row r="904" spans="1:5" x14ac:dyDescent="0.25">
      <c r="A904" s="29"/>
      <c r="B904" s="27"/>
      <c r="C904" s="17"/>
      <c r="D904" s="17"/>
      <c r="E904" s="28">
        <f t="shared" si="14"/>
        <v>75.5</v>
      </c>
    </row>
    <row r="905" spans="1:5" x14ac:dyDescent="0.25">
      <c r="A905" s="29"/>
      <c r="B905" s="27"/>
      <c r="C905" s="17"/>
      <c r="D905" s="17"/>
      <c r="E905" s="28">
        <f t="shared" si="14"/>
        <v>75.5</v>
      </c>
    </row>
    <row r="906" spans="1:5" x14ac:dyDescent="0.25">
      <c r="A906" s="29"/>
      <c r="B906" s="27"/>
      <c r="C906" s="17"/>
      <c r="D906" s="17"/>
      <c r="E906" s="28">
        <f t="shared" si="14"/>
        <v>75.5</v>
      </c>
    </row>
    <row r="907" spans="1:5" x14ac:dyDescent="0.25">
      <c r="A907" s="29"/>
      <c r="B907" s="27"/>
      <c r="C907" s="17"/>
      <c r="D907" s="17"/>
      <c r="E907" s="28">
        <f t="shared" si="14"/>
        <v>75.5</v>
      </c>
    </row>
    <row r="908" spans="1:5" x14ac:dyDescent="0.25">
      <c r="A908" s="29"/>
      <c r="B908" s="27"/>
      <c r="C908" s="17"/>
      <c r="D908" s="17"/>
      <c r="E908" s="28">
        <f t="shared" si="14"/>
        <v>75.5</v>
      </c>
    </row>
    <row r="909" spans="1:5" x14ac:dyDescent="0.25">
      <c r="A909" s="29"/>
      <c r="B909" s="27"/>
      <c r="C909" s="17"/>
      <c r="D909" s="17"/>
      <c r="E909" s="28">
        <f t="shared" si="14"/>
        <v>75.5</v>
      </c>
    </row>
    <row r="910" spans="1:5" x14ac:dyDescent="0.25">
      <c r="A910" s="29"/>
      <c r="B910" s="27"/>
      <c r="C910" s="17"/>
      <c r="D910" s="17"/>
      <c r="E910" s="28">
        <f t="shared" si="14"/>
        <v>75.5</v>
      </c>
    </row>
    <row r="911" spans="1:5" x14ac:dyDescent="0.25">
      <c r="A911" s="29"/>
      <c r="B911" s="27"/>
      <c r="C911" s="17"/>
      <c r="D911" s="17"/>
      <c r="E911" s="28">
        <f t="shared" si="14"/>
        <v>75.5</v>
      </c>
    </row>
    <row r="912" spans="1:5" x14ac:dyDescent="0.25">
      <c r="A912" s="29"/>
      <c r="B912" s="27"/>
      <c r="C912" s="17"/>
      <c r="D912" s="17"/>
      <c r="E912" s="28">
        <f t="shared" si="14"/>
        <v>75.5</v>
      </c>
    </row>
    <row r="913" spans="1:5" x14ac:dyDescent="0.25">
      <c r="A913" s="29"/>
      <c r="B913" s="27"/>
      <c r="C913" s="17"/>
      <c r="D913" s="17"/>
      <c r="E913" s="28">
        <f t="shared" ref="E913:E976" si="15">E912+D913-C913</f>
        <v>75.5</v>
      </c>
    </row>
    <row r="914" spans="1:5" x14ac:dyDescent="0.25">
      <c r="A914" s="29"/>
      <c r="B914" s="27"/>
      <c r="C914" s="17"/>
      <c r="D914" s="17"/>
      <c r="E914" s="28">
        <f t="shared" si="15"/>
        <v>75.5</v>
      </c>
    </row>
    <row r="915" spans="1:5" x14ac:dyDescent="0.25">
      <c r="A915" s="29"/>
      <c r="B915" s="27"/>
      <c r="C915" s="17"/>
      <c r="D915" s="17"/>
      <c r="E915" s="28">
        <f t="shared" si="15"/>
        <v>75.5</v>
      </c>
    </row>
    <row r="916" spans="1:5" x14ac:dyDescent="0.25">
      <c r="A916" s="29"/>
      <c r="B916" s="27"/>
      <c r="C916" s="17"/>
      <c r="D916" s="17"/>
      <c r="E916" s="28">
        <f t="shared" si="15"/>
        <v>75.5</v>
      </c>
    </row>
    <row r="917" spans="1:5" x14ac:dyDescent="0.25">
      <c r="A917" s="29"/>
      <c r="B917" s="27"/>
      <c r="C917" s="17"/>
      <c r="D917" s="17"/>
      <c r="E917" s="28">
        <f t="shared" si="15"/>
        <v>75.5</v>
      </c>
    </row>
    <row r="918" spans="1:5" x14ac:dyDescent="0.25">
      <c r="A918" s="29"/>
      <c r="B918" s="27"/>
      <c r="C918" s="17"/>
      <c r="D918" s="17"/>
      <c r="E918" s="28">
        <f t="shared" si="15"/>
        <v>75.5</v>
      </c>
    </row>
    <row r="919" spans="1:5" x14ac:dyDescent="0.25">
      <c r="A919" s="29"/>
      <c r="B919" s="27"/>
      <c r="C919" s="17"/>
      <c r="D919" s="17"/>
      <c r="E919" s="28">
        <f t="shared" si="15"/>
        <v>75.5</v>
      </c>
    </row>
    <row r="920" spans="1:5" x14ac:dyDescent="0.25">
      <c r="A920" s="29"/>
      <c r="B920" s="27"/>
      <c r="C920" s="17"/>
      <c r="D920" s="17"/>
      <c r="E920" s="28">
        <f t="shared" si="15"/>
        <v>75.5</v>
      </c>
    </row>
    <row r="921" spans="1:5" x14ac:dyDescent="0.25">
      <c r="A921" s="29"/>
      <c r="B921" s="27"/>
      <c r="C921" s="17"/>
      <c r="D921" s="17"/>
      <c r="E921" s="28">
        <f t="shared" si="15"/>
        <v>75.5</v>
      </c>
    </row>
    <row r="922" spans="1:5" x14ac:dyDescent="0.25">
      <c r="A922" s="29"/>
      <c r="B922" s="27"/>
      <c r="C922" s="17"/>
      <c r="D922" s="17"/>
      <c r="E922" s="28">
        <f t="shared" si="15"/>
        <v>75.5</v>
      </c>
    </row>
    <row r="923" spans="1:5" x14ac:dyDescent="0.25">
      <c r="A923" s="29"/>
      <c r="B923" s="27"/>
      <c r="C923" s="17"/>
      <c r="D923" s="17"/>
      <c r="E923" s="28">
        <f t="shared" si="15"/>
        <v>75.5</v>
      </c>
    </row>
    <row r="924" spans="1:5" x14ac:dyDescent="0.25">
      <c r="A924" s="29"/>
      <c r="B924" s="27"/>
      <c r="C924" s="17"/>
      <c r="D924" s="17"/>
      <c r="E924" s="28">
        <f t="shared" si="15"/>
        <v>75.5</v>
      </c>
    </row>
    <row r="925" spans="1:5" x14ac:dyDescent="0.25">
      <c r="A925" s="29"/>
      <c r="B925" s="27"/>
      <c r="C925" s="17"/>
      <c r="D925" s="17"/>
      <c r="E925" s="28">
        <f t="shared" si="15"/>
        <v>75.5</v>
      </c>
    </row>
    <row r="926" spans="1:5" x14ac:dyDescent="0.25">
      <c r="A926" s="29"/>
      <c r="B926" s="27"/>
      <c r="C926" s="17"/>
      <c r="D926" s="17"/>
      <c r="E926" s="28">
        <f t="shared" si="15"/>
        <v>75.5</v>
      </c>
    </row>
    <row r="927" spans="1:5" x14ac:dyDescent="0.25">
      <c r="A927" s="29"/>
      <c r="B927" s="27"/>
      <c r="C927" s="17"/>
      <c r="D927" s="17"/>
      <c r="E927" s="28">
        <f t="shared" si="15"/>
        <v>75.5</v>
      </c>
    </row>
    <row r="928" spans="1:5" x14ac:dyDescent="0.25">
      <c r="A928" s="29"/>
      <c r="B928" s="27"/>
      <c r="C928" s="17"/>
      <c r="D928" s="17"/>
      <c r="E928" s="28">
        <f t="shared" si="15"/>
        <v>75.5</v>
      </c>
    </row>
    <row r="929" spans="1:5" x14ac:dyDescent="0.25">
      <c r="A929" s="29"/>
      <c r="B929" s="27"/>
      <c r="C929" s="17"/>
      <c r="D929" s="17"/>
      <c r="E929" s="28">
        <f t="shared" si="15"/>
        <v>75.5</v>
      </c>
    </row>
    <row r="930" spans="1:5" x14ac:dyDescent="0.25">
      <c r="A930" s="29"/>
      <c r="B930" s="27"/>
      <c r="C930" s="17"/>
      <c r="D930" s="17"/>
      <c r="E930" s="28">
        <f t="shared" si="15"/>
        <v>75.5</v>
      </c>
    </row>
    <row r="931" spans="1:5" x14ac:dyDescent="0.25">
      <c r="A931" s="29"/>
      <c r="B931" s="27"/>
      <c r="C931" s="17"/>
      <c r="D931" s="17"/>
      <c r="E931" s="28">
        <f t="shared" si="15"/>
        <v>75.5</v>
      </c>
    </row>
    <row r="932" spans="1:5" x14ac:dyDescent="0.25">
      <c r="A932" s="29"/>
      <c r="B932" s="27"/>
      <c r="C932" s="17"/>
      <c r="D932" s="17"/>
      <c r="E932" s="28">
        <f t="shared" si="15"/>
        <v>75.5</v>
      </c>
    </row>
    <row r="933" spans="1:5" x14ac:dyDescent="0.25">
      <c r="A933" s="29"/>
      <c r="B933" s="27"/>
      <c r="C933" s="17"/>
      <c r="D933" s="17"/>
      <c r="E933" s="28">
        <f t="shared" si="15"/>
        <v>75.5</v>
      </c>
    </row>
    <row r="934" spans="1:5" x14ac:dyDescent="0.25">
      <c r="A934" s="29"/>
      <c r="B934" s="27"/>
      <c r="C934" s="17"/>
      <c r="D934" s="17"/>
      <c r="E934" s="28">
        <f t="shared" si="15"/>
        <v>75.5</v>
      </c>
    </row>
    <row r="935" spans="1:5" x14ac:dyDescent="0.25">
      <c r="A935" s="29"/>
      <c r="B935" s="27"/>
      <c r="C935" s="17"/>
      <c r="D935" s="17"/>
      <c r="E935" s="28">
        <f t="shared" si="15"/>
        <v>75.5</v>
      </c>
    </row>
    <row r="936" spans="1:5" x14ac:dyDescent="0.25">
      <c r="A936" s="29"/>
      <c r="B936" s="27"/>
      <c r="C936" s="17"/>
      <c r="D936" s="17"/>
      <c r="E936" s="28">
        <f t="shared" si="15"/>
        <v>75.5</v>
      </c>
    </row>
    <row r="937" spans="1:5" x14ac:dyDescent="0.25">
      <c r="A937" s="29"/>
      <c r="B937" s="27"/>
      <c r="C937" s="17"/>
      <c r="D937" s="17"/>
      <c r="E937" s="28">
        <f t="shared" si="15"/>
        <v>75.5</v>
      </c>
    </row>
    <row r="938" spans="1:5" x14ac:dyDescent="0.25">
      <c r="A938" s="29"/>
      <c r="B938" s="27"/>
      <c r="C938" s="17"/>
      <c r="D938" s="17"/>
      <c r="E938" s="28">
        <f t="shared" si="15"/>
        <v>75.5</v>
      </c>
    </row>
    <row r="939" spans="1:5" x14ac:dyDescent="0.25">
      <c r="A939" s="29"/>
      <c r="B939" s="27"/>
      <c r="C939" s="17"/>
      <c r="D939" s="17"/>
      <c r="E939" s="28">
        <f t="shared" si="15"/>
        <v>75.5</v>
      </c>
    </row>
    <row r="940" spans="1:5" x14ac:dyDescent="0.25">
      <c r="A940" s="29"/>
      <c r="B940" s="27"/>
      <c r="C940" s="17"/>
      <c r="D940" s="17"/>
      <c r="E940" s="28">
        <f t="shared" si="15"/>
        <v>75.5</v>
      </c>
    </row>
    <row r="941" spans="1:5" x14ac:dyDescent="0.25">
      <c r="A941" s="29"/>
      <c r="B941" s="27"/>
      <c r="C941" s="17"/>
      <c r="D941" s="17"/>
      <c r="E941" s="28">
        <f t="shared" si="15"/>
        <v>75.5</v>
      </c>
    </row>
    <row r="942" spans="1:5" x14ac:dyDescent="0.25">
      <c r="A942" s="29"/>
      <c r="B942" s="27"/>
      <c r="C942" s="17"/>
      <c r="D942" s="17"/>
      <c r="E942" s="28">
        <f t="shared" si="15"/>
        <v>75.5</v>
      </c>
    </row>
    <row r="943" spans="1:5" x14ac:dyDescent="0.25">
      <c r="A943" s="29"/>
      <c r="B943" s="27"/>
      <c r="C943" s="17"/>
      <c r="D943" s="17"/>
      <c r="E943" s="28">
        <f t="shared" si="15"/>
        <v>75.5</v>
      </c>
    </row>
    <row r="944" spans="1:5" x14ac:dyDescent="0.25">
      <c r="A944" s="29"/>
      <c r="B944" s="27"/>
      <c r="C944" s="17"/>
      <c r="D944" s="17"/>
      <c r="E944" s="28">
        <f t="shared" si="15"/>
        <v>75.5</v>
      </c>
    </row>
    <row r="945" spans="1:5" x14ac:dyDescent="0.25">
      <c r="A945" s="29"/>
      <c r="B945" s="27"/>
      <c r="C945" s="17"/>
      <c r="D945" s="17"/>
      <c r="E945" s="28">
        <f t="shared" si="15"/>
        <v>75.5</v>
      </c>
    </row>
    <row r="946" spans="1:5" x14ac:dyDescent="0.25">
      <c r="A946" s="29"/>
      <c r="B946" s="27"/>
      <c r="C946" s="17"/>
      <c r="D946" s="17"/>
      <c r="E946" s="28">
        <f t="shared" si="15"/>
        <v>75.5</v>
      </c>
    </row>
    <row r="947" spans="1:5" x14ac:dyDescent="0.25">
      <c r="A947" s="29"/>
      <c r="B947" s="27"/>
      <c r="C947" s="17"/>
      <c r="D947" s="17"/>
      <c r="E947" s="28">
        <f t="shared" si="15"/>
        <v>75.5</v>
      </c>
    </row>
    <row r="948" spans="1:5" x14ac:dyDescent="0.25">
      <c r="A948" s="29"/>
      <c r="B948" s="27"/>
      <c r="C948" s="17"/>
      <c r="D948" s="17"/>
      <c r="E948" s="28">
        <f t="shared" si="15"/>
        <v>75.5</v>
      </c>
    </row>
    <row r="949" spans="1:5" x14ac:dyDescent="0.25">
      <c r="A949" s="29"/>
      <c r="B949" s="27"/>
      <c r="C949" s="17"/>
      <c r="D949" s="17"/>
      <c r="E949" s="28">
        <f t="shared" si="15"/>
        <v>75.5</v>
      </c>
    </row>
    <row r="950" spans="1:5" x14ac:dyDescent="0.25">
      <c r="A950" s="29"/>
      <c r="B950" s="27"/>
      <c r="C950" s="17"/>
      <c r="D950" s="17"/>
      <c r="E950" s="28">
        <f t="shared" si="15"/>
        <v>75.5</v>
      </c>
    </row>
    <row r="951" spans="1:5" x14ac:dyDescent="0.25">
      <c r="A951" s="29"/>
      <c r="B951" s="27"/>
      <c r="C951" s="17"/>
      <c r="D951" s="17"/>
      <c r="E951" s="28">
        <f t="shared" si="15"/>
        <v>75.5</v>
      </c>
    </row>
    <row r="952" spans="1:5" x14ac:dyDescent="0.25">
      <c r="A952" s="29"/>
      <c r="B952" s="27"/>
      <c r="C952" s="17"/>
      <c r="D952" s="17"/>
      <c r="E952" s="28">
        <f t="shared" si="15"/>
        <v>75.5</v>
      </c>
    </row>
    <row r="953" spans="1:5" x14ac:dyDescent="0.25">
      <c r="A953" s="29"/>
      <c r="B953" s="27"/>
      <c r="C953" s="17"/>
      <c r="D953" s="17"/>
      <c r="E953" s="28">
        <f t="shared" si="15"/>
        <v>75.5</v>
      </c>
    </row>
    <row r="954" spans="1:5" x14ac:dyDescent="0.25">
      <c r="A954" s="29"/>
      <c r="B954" s="27"/>
      <c r="C954" s="17"/>
      <c r="D954" s="17"/>
      <c r="E954" s="28">
        <f t="shared" si="15"/>
        <v>75.5</v>
      </c>
    </row>
    <row r="955" spans="1:5" x14ac:dyDescent="0.25">
      <c r="A955" s="29"/>
      <c r="B955" s="27"/>
      <c r="C955" s="17"/>
      <c r="D955" s="17"/>
      <c r="E955" s="28">
        <f t="shared" si="15"/>
        <v>75.5</v>
      </c>
    </row>
    <row r="956" spans="1:5" x14ac:dyDescent="0.25">
      <c r="A956" s="29"/>
      <c r="B956" s="27"/>
      <c r="C956" s="17"/>
      <c r="D956" s="17"/>
      <c r="E956" s="28">
        <f t="shared" si="15"/>
        <v>75.5</v>
      </c>
    </row>
    <row r="957" spans="1:5" x14ac:dyDescent="0.25">
      <c r="A957" s="29"/>
      <c r="B957" s="27"/>
      <c r="C957" s="17"/>
      <c r="D957" s="17"/>
      <c r="E957" s="28">
        <f t="shared" si="15"/>
        <v>75.5</v>
      </c>
    </row>
    <row r="958" spans="1:5" x14ac:dyDescent="0.25">
      <c r="A958" s="29"/>
      <c r="B958" s="27"/>
      <c r="C958" s="17"/>
      <c r="D958" s="17"/>
      <c r="E958" s="28">
        <f t="shared" si="15"/>
        <v>75.5</v>
      </c>
    </row>
    <row r="959" spans="1:5" x14ac:dyDescent="0.25">
      <c r="A959" s="29"/>
      <c r="B959" s="27"/>
      <c r="C959" s="17"/>
      <c r="D959" s="17"/>
      <c r="E959" s="28">
        <f t="shared" si="15"/>
        <v>75.5</v>
      </c>
    </row>
    <row r="960" spans="1:5" x14ac:dyDescent="0.25">
      <c r="A960" s="29"/>
      <c r="B960" s="27"/>
      <c r="C960" s="17"/>
      <c r="D960" s="17"/>
      <c r="E960" s="28">
        <f t="shared" si="15"/>
        <v>75.5</v>
      </c>
    </row>
    <row r="961" spans="1:5" x14ac:dyDescent="0.25">
      <c r="A961" s="29"/>
      <c r="B961" s="27"/>
      <c r="C961" s="17"/>
      <c r="D961" s="17"/>
      <c r="E961" s="28">
        <f t="shared" si="15"/>
        <v>75.5</v>
      </c>
    </row>
    <row r="962" spans="1:5" x14ac:dyDescent="0.25">
      <c r="A962" s="29"/>
      <c r="B962" s="27"/>
      <c r="C962" s="17"/>
      <c r="D962" s="17"/>
      <c r="E962" s="28">
        <f t="shared" si="15"/>
        <v>75.5</v>
      </c>
    </row>
    <row r="963" spans="1:5" x14ac:dyDescent="0.25">
      <c r="A963" s="29"/>
      <c r="B963" s="27"/>
      <c r="C963" s="17"/>
      <c r="D963" s="17"/>
      <c r="E963" s="28">
        <f t="shared" si="15"/>
        <v>75.5</v>
      </c>
    </row>
    <row r="964" spans="1:5" x14ac:dyDescent="0.25">
      <c r="A964" s="29"/>
      <c r="B964" s="27"/>
      <c r="C964" s="17"/>
      <c r="D964" s="17"/>
      <c r="E964" s="28">
        <f t="shared" si="15"/>
        <v>75.5</v>
      </c>
    </row>
    <row r="965" spans="1:5" x14ac:dyDescent="0.25">
      <c r="A965" s="29"/>
      <c r="B965" s="27"/>
      <c r="C965" s="17"/>
      <c r="D965" s="17"/>
      <c r="E965" s="28">
        <f t="shared" si="15"/>
        <v>75.5</v>
      </c>
    </row>
    <row r="966" spans="1:5" x14ac:dyDescent="0.25">
      <c r="A966" s="29"/>
      <c r="B966" s="27"/>
      <c r="C966" s="17"/>
      <c r="D966" s="17"/>
      <c r="E966" s="28">
        <f t="shared" si="15"/>
        <v>75.5</v>
      </c>
    </row>
    <row r="967" spans="1:5" x14ac:dyDescent="0.25">
      <c r="A967" s="29"/>
      <c r="B967" s="27"/>
      <c r="C967" s="17"/>
      <c r="D967" s="17"/>
      <c r="E967" s="28">
        <f t="shared" si="15"/>
        <v>75.5</v>
      </c>
    </row>
    <row r="968" spans="1:5" x14ac:dyDescent="0.25">
      <c r="A968" s="29"/>
      <c r="B968" s="27"/>
      <c r="C968" s="17"/>
      <c r="D968" s="17"/>
      <c r="E968" s="28">
        <f t="shared" si="15"/>
        <v>75.5</v>
      </c>
    </row>
    <row r="969" spans="1:5" x14ac:dyDescent="0.25">
      <c r="A969" s="29"/>
      <c r="B969" s="27"/>
      <c r="C969" s="17"/>
      <c r="D969" s="17"/>
      <c r="E969" s="28">
        <f t="shared" si="15"/>
        <v>75.5</v>
      </c>
    </row>
    <row r="970" spans="1:5" x14ac:dyDescent="0.25">
      <c r="A970" s="29"/>
      <c r="B970" s="27"/>
      <c r="C970" s="17"/>
      <c r="D970" s="17"/>
      <c r="E970" s="28">
        <f t="shared" si="15"/>
        <v>75.5</v>
      </c>
    </row>
    <row r="971" spans="1:5" x14ac:dyDescent="0.25">
      <c r="A971" s="29"/>
      <c r="B971" s="27"/>
      <c r="C971" s="17"/>
      <c r="D971" s="17"/>
      <c r="E971" s="28">
        <f t="shared" si="15"/>
        <v>75.5</v>
      </c>
    </row>
    <row r="972" spans="1:5" x14ac:dyDescent="0.25">
      <c r="A972" s="29"/>
      <c r="B972" s="27"/>
      <c r="C972" s="17"/>
      <c r="D972" s="17"/>
      <c r="E972" s="28">
        <f t="shared" si="15"/>
        <v>75.5</v>
      </c>
    </row>
    <row r="973" spans="1:5" x14ac:dyDescent="0.25">
      <c r="A973" s="29"/>
      <c r="B973" s="27"/>
      <c r="C973" s="17"/>
      <c r="D973" s="17"/>
      <c r="E973" s="28">
        <f t="shared" si="15"/>
        <v>75.5</v>
      </c>
    </row>
    <row r="974" spans="1:5" x14ac:dyDescent="0.25">
      <c r="A974" s="29"/>
      <c r="B974" s="27"/>
      <c r="C974" s="17"/>
      <c r="D974" s="17"/>
      <c r="E974" s="28">
        <f t="shared" si="15"/>
        <v>75.5</v>
      </c>
    </row>
    <row r="975" spans="1:5" x14ac:dyDescent="0.25">
      <c r="A975" s="29"/>
      <c r="B975" s="27"/>
      <c r="C975" s="17"/>
      <c r="D975" s="17"/>
      <c r="E975" s="28">
        <f t="shared" si="15"/>
        <v>75.5</v>
      </c>
    </row>
    <row r="976" spans="1:5" x14ac:dyDescent="0.25">
      <c r="A976" s="29"/>
      <c r="B976" s="27"/>
      <c r="C976" s="17"/>
      <c r="D976" s="17"/>
      <c r="E976" s="28">
        <f t="shared" si="15"/>
        <v>75.5</v>
      </c>
    </row>
    <row r="977" spans="1:5" x14ac:dyDescent="0.25">
      <c r="A977" s="29"/>
      <c r="B977" s="27"/>
      <c r="C977" s="17"/>
      <c r="D977" s="17"/>
      <c r="E977" s="28">
        <f t="shared" ref="E977:E1000" si="16">E976+D977-C977</f>
        <v>75.5</v>
      </c>
    </row>
    <row r="978" spans="1:5" x14ac:dyDescent="0.25">
      <c r="A978" s="29"/>
      <c r="B978" s="27"/>
      <c r="C978" s="17"/>
      <c r="D978" s="17"/>
      <c r="E978" s="28">
        <f t="shared" si="16"/>
        <v>75.5</v>
      </c>
    </row>
    <row r="979" spans="1:5" x14ac:dyDescent="0.25">
      <c r="A979" s="29"/>
      <c r="B979" s="27"/>
      <c r="C979" s="17"/>
      <c r="D979" s="17"/>
      <c r="E979" s="28">
        <f t="shared" si="16"/>
        <v>75.5</v>
      </c>
    </row>
    <row r="980" spans="1:5" x14ac:dyDescent="0.25">
      <c r="A980" s="29"/>
      <c r="B980" s="27"/>
      <c r="C980" s="17"/>
      <c r="D980" s="17"/>
      <c r="E980" s="28">
        <f t="shared" si="16"/>
        <v>75.5</v>
      </c>
    </row>
    <row r="981" spans="1:5" x14ac:dyDescent="0.25">
      <c r="A981" s="29"/>
      <c r="B981" s="27"/>
      <c r="C981" s="17"/>
      <c r="D981" s="17"/>
      <c r="E981" s="28">
        <f t="shared" si="16"/>
        <v>75.5</v>
      </c>
    </row>
    <row r="982" spans="1:5" x14ac:dyDescent="0.25">
      <c r="A982" s="29"/>
      <c r="B982" s="27"/>
      <c r="C982" s="17"/>
      <c r="D982" s="17"/>
      <c r="E982" s="28">
        <f t="shared" si="16"/>
        <v>75.5</v>
      </c>
    </row>
    <row r="983" spans="1:5" x14ac:dyDescent="0.25">
      <c r="A983" s="29"/>
      <c r="B983" s="27"/>
      <c r="C983" s="17"/>
      <c r="D983" s="17"/>
      <c r="E983" s="28">
        <f t="shared" si="16"/>
        <v>75.5</v>
      </c>
    </row>
    <row r="984" spans="1:5" x14ac:dyDescent="0.25">
      <c r="A984" s="29"/>
      <c r="B984" s="27"/>
      <c r="C984" s="17"/>
      <c r="D984" s="17"/>
      <c r="E984" s="28">
        <f t="shared" si="16"/>
        <v>75.5</v>
      </c>
    </row>
    <row r="985" spans="1:5" x14ac:dyDescent="0.25">
      <c r="A985" s="29"/>
      <c r="B985" s="27"/>
      <c r="C985" s="17"/>
      <c r="D985" s="17"/>
      <c r="E985" s="28">
        <f t="shared" si="16"/>
        <v>75.5</v>
      </c>
    </row>
    <row r="986" spans="1:5" x14ac:dyDescent="0.25">
      <c r="A986" s="29"/>
      <c r="B986" s="27"/>
      <c r="C986" s="17"/>
      <c r="D986" s="17"/>
      <c r="E986" s="28">
        <f t="shared" si="16"/>
        <v>75.5</v>
      </c>
    </row>
    <row r="987" spans="1:5" x14ac:dyDescent="0.25">
      <c r="A987" s="29"/>
      <c r="B987" s="27"/>
      <c r="C987" s="17"/>
      <c r="D987" s="17"/>
      <c r="E987" s="28">
        <f t="shared" si="16"/>
        <v>75.5</v>
      </c>
    </row>
    <row r="988" spans="1:5" x14ac:dyDescent="0.25">
      <c r="A988" s="29"/>
      <c r="B988" s="27"/>
      <c r="C988" s="17"/>
      <c r="D988" s="17"/>
      <c r="E988" s="28">
        <f t="shared" si="16"/>
        <v>75.5</v>
      </c>
    </row>
    <row r="989" spans="1:5" x14ac:dyDescent="0.25">
      <c r="A989" s="29"/>
      <c r="B989" s="27"/>
      <c r="C989" s="17"/>
      <c r="D989" s="17"/>
      <c r="E989" s="28">
        <f t="shared" si="16"/>
        <v>75.5</v>
      </c>
    </row>
    <row r="990" spans="1:5" x14ac:dyDescent="0.25">
      <c r="A990" s="29"/>
      <c r="B990" s="27"/>
      <c r="C990" s="17"/>
      <c r="D990" s="17"/>
      <c r="E990" s="28">
        <f t="shared" si="16"/>
        <v>75.5</v>
      </c>
    </row>
    <row r="991" spans="1:5" x14ac:dyDescent="0.25">
      <c r="A991" s="29"/>
      <c r="B991" s="27"/>
      <c r="C991" s="17"/>
      <c r="D991" s="17"/>
      <c r="E991" s="28">
        <f t="shared" si="16"/>
        <v>75.5</v>
      </c>
    </row>
    <row r="992" spans="1:5" x14ac:dyDescent="0.25">
      <c r="A992" s="29"/>
      <c r="B992" s="27"/>
      <c r="C992" s="17"/>
      <c r="D992" s="17"/>
      <c r="E992" s="28">
        <f t="shared" si="16"/>
        <v>75.5</v>
      </c>
    </row>
    <row r="993" spans="1:5" x14ac:dyDescent="0.25">
      <c r="A993" s="29"/>
      <c r="B993" s="27"/>
      <c r="C993" s="17"/>
      <c r="D993" s="17"/>
      <c r="E993" s="28">
        <f t="shared" si="16"/>
        <v>75.5</v>
      </c>
    </row>
    <row r="994" spans="1:5" x14ac:dyDescent="0.25">
      <c r="A994" s="29"/>
      <c r="B994" s="27"/>
      <c r="C994" s="17"/>
      <c r="D994" s="17"/>
      <c r="E994" s="28">
        <f t="shared" si="16"/>
        <v>75.5</v>
      </c>
    </row>
    <row r="995" spans="1:5" x14ac:dyDescent="0.25">
      <c r="A995" s="29"/>
      <c r="B995" s="27"/>
      <c r="C995" s="17"/>
      <c r="D995" s="17"/>
      <c r="E995" s="28">
        <f t="shared" si="16"/>
        <v>75.5</v>
      </c>
    </row>
    <row r="996" spans="1:5" x14ac:dyDescent="0.25">
      <c r="A996" s="29"/>
      <c r="B996" s="27"/>
      <c r="C996" s="17"/>
      <c r="D996" s="17"/>
      <c r="E996" s="28">
        <f t="shared" si="16"/>
        <v>75.5</v>
      </c>
    </row>
    <row r="997" spans="1:5" x14ac:dyDescent="0.25">
      <c r="A997" s="29"/>
      <c r="B997" s="27"/>
      <c r="C997" s="17"/>
      <c r="D997" s="17"/>
      <c r="E997" s="28">
        <f t="shared" si="16"/>
        <v>75.5</v>
      </c>
    </row>
    <row r="998" spans="1:5" x14ac:dyDescent="0.25">
      <c r="A998" s="29"/>
      <c r="B998" s="27"/>
      <c r="C998" s="17"/>
      <c r="D998" s="17"/>
      <c r="E998" s="28">
        <f t="shared" si="16"/>
        <v>75.5</v>
      </c>
    </row>
    <row r="999" spans="1:5" x14ac:dyDescent="0.25">
      <c r="A999" s="29"/>
      <c r="B999" s="27"/>
      <c r="C999" s="17"/>
      <c r="D999" s="17"/>
      <c r="E999" s="28">
        <f t="shared" si="16"/>
        <v>75.5</v>
      </c>
    </row>
    <row r="1000" spans="1:5" x14ac:dyDescent="0.25">
      <c r="A1000" s="29"/>
      <c r="B1000" s="27"/>
      <c r="C1000" s="17"/>
      <c r="D1000" s="17"/>
      <c r="E1000" s="28">
        <f t="shared" si="16"/>
        <v>75.5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</vt:lpstr>
      <vt:lpstr>SALE</vt:lpstr>
      <vt:lpstr>SAP</vt:lpstr>
      <vt:lpstr>JNP G EXP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Irshad</dc:creator>
  <cp:lastModifiedBy>hp</cp:lastModifiedBy>
  <cp:lastPrinted>2019-07-05T16:05:42Z</cp:lastPrinted>
  <dcterms:created xsi:type="dcterms:W3CDTF">2019-01-29T17:55:37Z</dcterms:created>
  <dcterms:modified xsi:type="dcterms:W3CDTF">2026-04-26T00:42:45Z</dcterms:modified>
</cp:coreProperties>
</file>